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drawings/drawing4.xml" ContentType="application/vnd.openxmlformats-officedocument.drawing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projekt.sharepoint.com/sites/TEAMProjektOutsourcingGmbH19/Freigegebene Dokumente/Betriebe/VW Wunstorf/Operative/01_Ein- &amp; Auslagerung/Wareneingang ab 01.07.2024/"/>
    </mc:Choice>
  </mc:AlternateContent>
  <xr:revisionPtr revIDLastSave="13581" documentId="13_ncr:1_{98FE108D-311F-4FAC-9248-26C3BDA6736B}" xr6:coauthVersionLast="47" xr6:coauthVersionMax="47" xr10:uidLastSave="{EB67A67C-597D-46A3-9154-82AC1F10A20B}"/>
  <bookViews>
    <workbookView xWindow="28815" yWindow="1230" windowWidth="13005" windowHeight="15450" xr2:uid="{6A73436E-648F-441A-A562-C1AC95FBEE7B}"/>
  </bookViews>
  <sheets>
    <sheet name="Tabelle1" sheetId="1" r:id="rId1"/>
    <sheet name="Tabelle2" sheetId="5" r:id="rId2"/>
    <sheet name="Tabelle3" sheetId="6" r:id="rId3"/>
    <sheet name="Tabelle1 (2)" sheetId="8" r:id="rId4"/>
    <sheet name="Original " sheetId="3" state="hidden" r:id="rId5"/>
  </sheets>
  <definedNames>
    <definedName name="_xlnm.Print_Area" localSheetId="4">'Original '!$A$1:$G$53</definedName>
    <definedName name="_xlnm.Print_Area" localSheetId="0">Tabelle1!$A$1:$E$77</definedName>
    <definedName name="_xlnm.Print_Area" localSheetId="3">'Tabelle1 (2)'!$A$1:$E$76</definedName>
    <definedName name="Print_Area" localSheetId="4">'Original '!$A$1:$G$53</definedName>
    <definedName name="Print_Area" localSheetId="0">Tabelle1!$A$1:$E$53</definedName>
    <definedName name="Print_Area" localSheetId="3">'Tabelle1 (2)'!$A$1:$E$53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D29" i="1" s="1"/>
  <c r="D74" i="8" l="1"/>
  <c r="D29" i="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<sst xmlns="http://schemas.openxmlformats.org/spreadsheetml/2006/main" count="296" uniqueCount="112">
  <si>
    <t>CTKG Logistik GmH &amp; Co. KG</t>
  </si>
  <si>
    <t>Benzstraße 21 C</t>
  </si>
  <si>
    <t>38446 Wolfsburg</t>
  </si>
  <si>
    <t>SPEDITION:</t>
  </si>
  <si>
    <t>KENNZEICHEN:</t>
  </si>
  <si>
    <t>WARE:</t>
  </si>
  <si>
    <t>LIEFERUNG DURCH:</t>
  </si>
  <si>
    <t>INHALT:</t>
  </si>
  <si>
    <t>Beschädigung der Ware:</t>
  </si>
  <si>
    <t>(Wenn JA, Bemerkung)</t>
  </si>
  <si>
    <t>Ware Systemseitig Gebucht:</t>
  </si>
  <si>
    <t>Gezählte Menge:</t>
  </si>
  <si>
    <t>Anzahl Laut Lieferschein:</t>
  </si>
  <si>
    <t>_________________________________________</t>
  </si>
  <si>
    <t>(Wenn NEIN, Bemerkung)</t>
  </si>
  <si>
    <t>Unterschrift:</t>
  </si>
  <si>
    <t>____________________</t>
  </si>
  <si>
    <t>Auszufüllen durch
Mitarbeiter:</t>
  </si>
  <si>
    <t>Auszufüllen durch 
Büro:</t>
  </si>
  <si>
    <t>Auszufüllen durch  
Mitarbeiter:</t>
  </si>
  <si>
    <t>_______________</t>
  </si>
  <si>
    <t>Datum:</t>
  </si>
  <si>
    <t>WE-NR:</t>
  </si>
  <si>
    <t>ABFAHRTSZEIT:</t>
  </si>
  <si>
    <t>Ware gebucht durch:</t>
  </si>
  <si>
    <t>Ware gebucht am:</t>
  </si>
  <si>
    <t>BEGINN ENTLADUNG:</t>
  </si>
  <si>
    <t>Ankunftszeit:</t>
  </si>
  <si>
    <t>_______________________</t>
  </si>
  <si>
    <t>Eingangskontrolle durch:</t>
  </si>
  <si>
    <t>Ware ausgebucht durch:</t>
  </si>
  <si>
    <t>Ware ausgebucht am:</t>
  </si>
  <si>
    <t>Ware in Excel-Liste eingetragen:</t>
  </si>
  <si>
    <t>Ware ausgelagert am:</t>
  </si>
  <si>
    <t>Lagerplatz:</t>
  </si>
  <si>
    <t xml:space="preserve">ID:  </t>
  </si>
  <si>
    <t>31515 Wunstorf</t>
  </si>
  <si>
    <t xml:space="preserve">Summe: </t>
  </si>
  <si>
    <t xml:space="preserve">Paletten / KLT  mengen </t>
  </si>
  <si>
    <t xml:space="preserve">TeamProjekt-Outcourcing </t>
  </si>
  <si>
    <t>Lise-Meitner-Straße 21</t>
  </si>
  <si>
    <t xml:space="preserve">VIN </t>
  </si>
  <si>
    <t>Michael Pulina</t>
  </si>
  <si>
    <t>Behälterdisposition</t>
  </si>
  <si>
    <t>Alexander Miller</t>
  </si>
  <si>
    <t>Logistikplanung CPH/L</t>
  </si>
  <si>
    <t>Metin Oezmezarci</t>
  </si>
  <si>
    <t xml:space="preserve">Logistikplanung </t>
  </si>
  <si>
    <t>Björn Plaggenborg</t>
  </si>
  <si>
    <t>Maria Hartmann</t>
  </si>
  <si>
    <t>Logistikplanung</t>
  </si>
  <si>
    <t>Marco Winkelmann</t>
  </si>
  <si>
    <t>CPH/Q, Qualitätssicherung</t>
  </si>
  <si>
    <t>Dennis Dohrmann</t>
  </si>
  <si>
    <t>Logistik IT CPH/L</t>
  </si>
  <si>
    <t>Dennis Hoffmann</t>
  </si>
  <si>
    <t>Disposition</t>
  </si>
  <si>
    <t>CPH/L Komponente Hannover - Gießerei H.03</t>
  </si>
  <si>
    <t>Dennis Altmann</t>
  </si>
  <si>
    <t>Disposition CPH/L</t>
  </si>
  <si>
    <t>Bilal Altinova</t>
  </si>
  <si>
    <t>Rafael Kotzur</t>
  </si>
  <si>
    <t>Leitstand - Batteriefertigung</t>
  </si>
  <si>
    <t>Yasar Kayalar</t>
  </si>
  <si>
    <t>Leitstand / Batteriefertigung</t>
  </si>
  <si>
    <t>Steffen Koch</t>
  </si>
  <si>
    <t>Maik Hegenbarth</t>
  </si>
  <si>
    <t>Versand Gießerei</t>
  </si>
  <si>
    <t>Daniel Hohlfeld</t>
  </si>
  <si>
    <r>
      <t xml:space="preserve">CPH/L1 </t>
    </r>
    <r>
      <rPr>
        <sz val="9"/>
        <color theme="1"/>
        <rFont val="Aptos"/>
        <family val="2"/>
      </rPr>
      <t>Logistik Wärmetauscher</t>
    </r>
  </si>
  <si>
    <t>Gülden Seven</t>
  </si>
  <si>
    <t>CPH/L Logistik Wärmetauscher</t>
  </si>
  <si>
    <t>Lukas Debowiecki</t>
  </si>
  <si>
    <t>Meister</t>
  </si>
  <si>
    <t>Timo Wippich</t>
  </si>
  <si>
    <t>Teamsprecher Kst.2115</t>
  </si>
  <si>
    <t xml:space="preserve">Alexander Widerspan </t>
  </si>
  <si>
    <t>Klaus-Dieter Goeing</t>
  </si>
  <si>
    <t xml:space="preserve">Meister </t>
  </si>
  <si>
    <t xml:space="preserve">Suedstrasse H34 EG Versand </t>
  </si>
  <si>
    <t>Müjdat Dursun</t>
  </si>
  <si>
    <t>Logistik Vorserie &amp; Serien Disposition CPH/L</t>
  </si>
  <si>
    <t>Niklas Heise</t>
  </si>
  <si>
    <t>Meisternachwuchskraft </t>
  </si>
  <si>
    <t>Schulz, Andreas</t>
  </si>
  <si>
    <t xml:space="preserve"> (CPH/L4)</t>
  </si>
  <si>
    <t>Suedstrasse H28 Empor 21</t>
  </si>
  <si>
    <t>Oststrasse H22 E01</t>
  </si>
  <si>
    <t>Suedstrasse H27 EG</t>
  </si>
  <si>
    <t>Suedstrasse H03 2.OG H3W</t>
  </si>
  <si>
    <t>Fallersl ICW6 1 O.G 107</t>
  </si>
  <si>
    <t>Suedstrasse H03 Erges QS</t>
  </si>
  <si>
    <t>Suedstrasse H03 HG</t>
  </si>
  <si>
    <t>H27</t>
  </si>
  <si>
    <t>Suedstrasse H28 1.OG 39</t>
  </si>
  <si>
    <t xml:space="preserve">H22 </t>
  </si>
  <si>
    <t>Suedstrasse H28</t>
  </si>
  <si>
    <t>Suedstrasse H28 EG</t>
  </si>
  <si>
    <t>Munzel Hohefeld 1.OG</t>
  </si>
  <si>
    <t>Suedstrasse H28 1 39</t>
  </si>
  <si>
    <t>für die drei Geräte in Wunstorf benötigen wir die aktuellen Betriebsstunden.</t>
  </si>
  <si>
    <t>LS-Nr.</t>
  </si>
  <si>
    <t>Werk</t>
  </si>
  <si>
    <t xml:space="preserve">NO Label </t>
  </si>
  <si>
    <t xml:space="preserve">Paletten auflistung bitte auf der Rückseite vermerken </t>
  </si>
  <si>
    <t xml:space="preserve">Sachnummer </t>
  </si>
  <si>
    <t>ENDE ENTLADUNG:</t>
  </si>
  <si>
    <t>Duvenbeck</t>
  </si>
  <si>
    <t>BOH-DT 834</t>
  </si>
  <si>
    <t>Tricor</t>
  </si>
  <si>
    <t>BRA L 8507</t>
  </si>
  <si>
    <t>GT14488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</si>
</sst>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9FE3"/>
      <name val="Calibri"/>
      <family val="2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u val="double"/>
      <sz val="14"/>
      <color theme="1"/>
      <name val="Arial"/>
      <family val="2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u/>
      <sz val="11"/>
      <color theme="1"/>
      <name val="Calibri"/>
      <family val="2"/>
      <scheme val="minor"/>
    </font>
    <font>
      <b/>
      <u val="double"/>
      <sz val="13"/>
      <color theme="1"/>
      <name val="Arial"/>
      <family val="2"/>
    </font>
    <font>
      <sz val="11"/>
      <color theme="1"/>
      <name val="Aptos"/>
      <family val="2"/>
    </font>
    <font>
      <sz val="9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5" fillId="0" borderId="0" xfId="0" applyFont="1"/>
    <xf numFmtId="0" fontId="8" fillId="0" borderId="0" xfId="0" applyFont="1"/>
    <xf numFmtId="0" fontId="5" fillId="0" borderId="1" xfId="0" applyFont="1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4" fillId="0" borderId="6" xfId="0" applyFont="1" applyBorder="1" applyAlignment="1">
      <alignment vertical="center"/>
    </xf>
    <xf numFmtId="0" fontId="1" fillId="0" borderId="0" xfId="0" applyFont="1"/>
    <xf numFmtId="0" fontId="0" fillId="0" borderId="7" xfId="0" applyBorder="1"/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8" fillId="0" borderId="6" xfId="0" applyFont="1" applyBorder="1"/>
    <xf numFmtId="0" fontId="5" fillId="0" borderId="6" xfId="0" applyFont="1" applyBorder="1"/>
    <xf numFmtId="0" fontId="7" fillId="0" borderId="0" xfId="0" applyFont="1"/>
    <xf numFmtId="0" fontId="7" fillId="0" borderId="6" xfId="0" applyFont="1" applyBorder="1"/>
    <xf numFmtId="0" fontId="10" fillId="0" borderId="0" xfId="0" applyFont="1"/>
    <xf numFmtId="0" fontId="11" fillId="0" borderId="6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4" fillId="2" borderId="2" xfId="0" applyFont="1" applyFill="1" applyBorder="1" applyAlignment="1">
      <alignment vertical="center" wrapText="1"/>
    </xf>
    <xf numFmtId="0" fontId="8" fillId="0" borderId="6" xfId="0" applyFont="1" applyBorder="1" applyAlignment="1">
      <alignment horizontal="left"/>
    </xf>
    <xf numFmtId="0" fontId="10" fillId="0" borderId="1" xfId="0" applyFont="1" applyBorder="1"/>
    <xf numFmtId="0" fontId="1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5" fillId="0" borderId="7" xfId="0" applyFont="1" applyBorder="1"/>
    <xf numFmtId="0" fontId="4" fillId="0" borderId="3" xfId="0" applyFont="1" applyBorder="1" applyAlignment="1">
      <alignment vertical="center"/>
    </xf>
    <xf numFmtId="0" fontId="1" fillId="0" borderId="4" xfId="0" applyFont="1" applyBorder="1"/>
    <xf numFmtId="0" fontId="7" fillId="0" borderId="7" xfId="0" applyFont="1" applyBorder="1"/>
    <xf numFmtId="0" fontId="8" fillId="0" borderId="0" xfId="0" applyFont="1" applyAlignment="1">
      <alignment horizontal="left"/>
    </xf>
    <xf numFmtId="0" fontId="0" fillId="0" borderId="11" xfId="0" applyBorder="1"/>
    <xf numFmtId="0" fontId="0" fillId="0" borderId="12" xfId="0" applyBorder="1"/>
    <xf numFmtId="0" fontId="7" fillId="0" borderId="2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20" fontId="0" fillId="0" borderId="0" xfId="0" applyNumberFormat="1"/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20" fontId="5" fillId="0" borderId="0" xfId="0" applyNumberFormat="1" applyFont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0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1" fontId="0" fillId="0" borderId="20" xfId="0" applyNumberFormat="1" applyBorder="1" applyAlignment="1">
      <alignment horizontal="center" vertical="center"/>
    </xf>
    <xf numFmtId="0" fontId="0" fillId="0" borderId="9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1" fontId="16" fillId="0" borderId="20" xfId="0" applyNumberFormat="1" applyFont="1" applyBorder="1" applyAlignment="1" applyProtection="1">
      <alignment horizontal="center" vertical="center"/>
      <protection locked="0"/>
    </xf>
    <xf numFmtId="1" fontId="16" fillId="0" borderId="13" xfId="0" applyNumberFormat="1" applyFont="1" applyBorder="1" applyAlignment="1" applyProtection="1">
      <alignment horizontal="center" vertical="center"/>
      <protection locked="0"/>
    </xf>
    <xf numFmtId="1" fontId="17" fillId="0" borderId="20" xfId="0" applyNumberFormat="1" applyFont="1" applyBorder="1" applyAlignment="1" applyProtection="1">
      <alignment horizontal="center" vertical="center" wrapText="1"/>
      <protection locked="0"/>
    </xf>
    <xf numFmtId="1" fontId="17" fillId="0" borderId="13" xfId="0" applyNumberFormat="1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  <protection locked="0"/>
    </xf>
    <xf numFmtId="1" fontId="16" fillId="0" borderId="15" xfId="0" applyNumberFormat="1" applyFont="1" applyBorder="1" applyAlignment="1" applyProtection="1">
      <alignment horizontal="center" vertical="center"/>
      <protection locked="0"/>
    </xf>
    <xf numFmtId="1" fontId="16" fillId="0" borderId="23" xfId="0" applyNumberFormat="1" applyFont="1" applyBorder="1" applyAlignment="1" applyProtection="1">
      <alignment horizontal="center" vertical="center"/>
      <protection locked="0"/>
    </xf>
    <xf numFmtId="1" fontId="17" fillId="0" borderId="15" xfId="0" applyNumberFormat="1" applyFont="1" applyBorder="1" applyAlignment="1" applyProtection="1">
      <alignment horizontal="center" vertical="center" wrapText="1"/>
      <protection locked="0"/>
    </xf>
    <xf numFmtId="1" fontId="17" fillId="0" borderId="23" xfId="0" applyNumberFormat="1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2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7" fillId="0" borderId="6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</cellXfs>
  <cellStyles count="1">
    <cellStyle name="Standard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2C3B.6D99CC1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65</xdr:row>
      <xdr:rowOff>161925</xdr:rowOff>
    </xdr:from>
    <xdr:to>
      <xdr:col>7</xdr:col>
      <xdr:colOff>457200</xdr:colOff>
      <xdr:row>81</xdr:row>
      <xdr:rowOff>133350</xdr:rowOff>
    </xdr:to>
    <xdr:sp macro="" textlink="">
      <xdr:nvSpPr>
        <xdr:cNvPr id="1025" name="Textfeld 16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7019925" y="10191750"/>
          <a:ext cx="2952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3</xdr:row>
          <xdr:rowOff>95250</xdr:rowOff>
        </xdr:from>
        <xdr:to>
          <xdr:col>3</xdr:col>
          <xdr:colOff>876300</xdr:colOff>
          <xdr:row>4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2238375</xdr:colOff>
          <xdr:row>30</xdr:row>
          <xdr:rowOff>0</xdr:rowOff>
        </xdr:from>
        <xdr:to>
          <xdr:col>2</xdr:col>
          <xdr:colOff>9525</xdr:colOff>
          <xdr:row>31</xdr:row>
          <xdr:rowOff>66675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390525</xdr:colOff>
          <xdr:row>30</xdr:row>
          <xdr:rowOff>0</xdr:rowOff>
        </xdr:from>
        <xdr:to>
          <xdr:col>2</xdr:col>
          <xdr:colOff>400050</xdr:colOff>
          <xdr:row>31</xdr:row>
          <xdr:rowOff>66675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2247900</xdr:colOff>
          <xdr:row>40</xdr:row>
          <xdr:rowOff>0</xdr:rowOff>
        </xdr:from>
        <xdr:to>
          <xdr:col>2</xdr:col>
          <xdr:colOff>9525</xdr:colOff>
          <xdr:row>41</xdr:row>
          <xdr:rowOff>66675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39</xdr:row>
          <xdr:rowOff>190500</xdr:rowOff>
        </xdr:from>
        <xdr:to>
          <xdr:col>2</xdr:col>
          <xdr:colOff>381000</xdr:colOff>
          <xdr:row>41</xdr:row>
          <xdr:rowOff>57150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1924050</xdr:colOff>
          <xdr:row>41</xdr:row>
          <xdr:rowOff>171450</xdr:rowOff>
        </xdr:from>
        <xdr:to>
          <xdr:col>1</xdr:col>
          <xdr:colOff>819150</xdr:colOff>
          <xdr:row>43</xdr:row>
          <xdr:rowOff>47625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41</xdr:row>
          <xdr:rowOff>171450</xdr:rowOff>
        </xdr:from>
        <xdr:to>
          <xdr:col>2</xdr:col>
          <xdr:colOff>400050</xdr:colOff>
          <xdr:row>43</xdr:row>
          <xdr:rowOff>47625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9</xdr:row>
          <xdr:rowOff>219075</xdr:rowOff>
        </xdr:from>
        <xdr:to>
          <xdr:col>3</xdr:col>
          <xdr:colOff>847725</xdr:colOff>
          <xdr:row>11</xdr:row>
          <xdr:rowOff>19050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5</xdr:row>
          <xdr:rowOff>171450</xdr:rowOff>
        </xdr:from>
        <xdr:to>
          <xdr:col>3</xdr:col>
          <xdr:colOff>838200</xdr:colOff>
          <xdr:row>7</xdr:row>
          <xdr:rowOff>19050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Batteriefertigung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6</xdr:row>
          <xdr:rowOff>190500</xdr:rowOff>
        </xdr:from>
        <xdr:to>
          <xdr:col>3</xdr:col>
          <xdr:colOff>914400</xdr:colOff>
          <xdr:row>8</xdr:row>
          <xdr:rowOff>28575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Banking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8</xdr:row>
          <xdr:rowOff>219075</xdr:rowOff>
        </xdr:from>
        <xdr:to>
          <xdr:col>3</xdr:col>
          <xdr:colOff>819150</xdr:colOff>
          <xdr:row>10</xdr:row>
          <xdr:rowOff>19050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7</xdr:row>
          <xdr:rowOff>171450</xdr:rowOff>
        </xdr:from>
        <xdr:to>
          <xdr:col>3</xdr:col>
          <xdr:colOff>828675</xdr:colOff>
          <xdr:row>9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Sarajevo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10</xdr:row>
          <xdr:rowOff>200025</xdr:rowOff>
        </xdr:from>
        <xdr:to>
          <xdr:col>3</xdr:col>
          <xdr:colOff>838200</xdr:colOff>
          <xdr:row>11</xdr:row>
          <xdr:rowOff>228600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295275</xdr:rowOff>
        </xdr:from>
        <xdr:to>
          <xdr:col>3</xdr:col>
          <xdr:colOff>904875</xdr:colOff>
          <xdr:row>6</xdr:row>
          <xdr:rowOff>28575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85725</xdr:rowOff>
        </xdr:from>
        <xdr:to>
          <xdr:col>4</xdr:col>
          <xdr:colOff>323850</xdr:colOff>
          <xdr:row>5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Behältermanagemant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76200</xdr:colOff>
      <xdr:row>41</xdr:row>
      <xdr:rowOff>0</xdr:rowOff>
    </xdr:from>
    <xdr:to>
      <xdr:col>4</xdr:col>
      <xdr:colOff>857250</xdr:colOff>
      <xdr:row>43</xdr:row>
      <xdr:rowOff>95250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619750" y="8686800"/>
          <a:ext cx="781050" cy="476250"/>
        </a:xfrm>
        <a:prstGeom prst="rightArrow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110</xdr:row>
      <xdr:rowOff>0</xdr:rowOff>
    </xdr:from>
    <xdr:to>
      <xdr:col>8</xdr:col>
      <xdr:colOff>704850</xdr:colOff>
      <xdr:row>114</xdr:row>
      <xdr:rowOff>85725</xdr:rowOff>
    </xdr:to>
    <xdr:pic>
      <xdr:nvPicPr>
        <xdr:cNvPr id="2" name="x_Grafik 1">
          <a:extLst>
            <a:ext uri="{FF2B5EF4-FFF2-40B4-BE49-F238E27FC236}">
              <a16:creationId xmlns:a16="http://schemas.microsoft.com/office/drawing/2014/main" id="{145978C7-31C1-9E15-414D-D0DBCF94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0955000"/>
          <a:ext cx="52768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65</xdr:row>
      <xdr:rowOff>161925</xdr:rowOff>
    </xdr:from>
    <xdr:to>
      <xdr:col>7</xdr:col>
      <xdr:colOff>457200</xdr:colOff>
      <xdr:row>80</xdr:row>
      <xdr:rowOff>133350</xdr:rowOff>
    </xdr:to>
    <xdr:sp macro="" textlink="">
      <xdr:nvSpPr>
        <xdr:cNvPr id="2" name="Textfeld 161">
          <a:extLst>
            <a:ext uri="{FF2B5EF4-FFF2-40B4-BE49-F238E27FC236}">
              <a16:creationId xmlns:a16="http://schemas.microsoft.com/office/drawing/2014/main" id="{D721C5B8-CEA9-444E-86E6-AFE854DB9BCB}"/>
            </a:ext>
          </a:extLst>
        </xdr:cNvPr>
        <xdr:cNvSpPr txBox="1">
          <a:spLocks noChangeArrowheads="1"/>
        </xdr:cNvSpPr>
      </xdr:nvSpPr>
      <xdr:spPr bwMode="auto">
        <a:xfrm>
          <a:off x="8324850" y="14306550"/>
          <a:ext cx="295275" cy="3686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3</xdr:row>
          <xdr:rowOff>0</xdr:rowOff>
        </xdr:from>
        <xdr:to>
          <xdr:col>3</xdr:col>
          <xdr:colOff>828675</xdr:colOff>
          <xdr:row>4</xdr:row>
          <xdr:rowOff>57150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2238375</xdr:colOff>
          <xdr:row>30</xdr:row>
          <xdr:rowOff>0</xdr:rowOff>
        </xdr:from>
        <xdr:to>
          <xdr:col>2</xdr:col>
          <xdr:colOff>9525</xdr:colOff>
          <xdr:row>31</xdr:row>
          <xdr:rowOff>66675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30</xdr:row>
          <xdr:rowOff>0</xdr:rowOff>
        </xdr:from>
        <xdr:to>
          <xdr:col>2</xdr:col>
          <xdr:colOff>723900</xdr:colOff>
          <xdr:row>31</xdr:row>
          <xdr:rowOff>66675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2247900</xdr:colOff>
          <xdr:row>40</xdr:row>
          <xdr:rowOff>0</xdr:rowOff>
        </xdr:from>
        <xdr:to>
          <xdr:col>2</xdr:col>
          <xdr:colOff>9525</xdr:colOff>
          <xdr:row>41</xdr:row>
          <xdr:rowOff>66675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381000</xdr:colOff>
          <xdr:row>39</xdr:row>
          <xdr:rowOff>190500</xdr:rowOff>
        </xdr:from>
        <xdr:to>
          <xdr:col>2</xdr:col>
          <xdr:colOff>381000</xdr:colOff>
          <xdr:row>41</xdr:row>
          <xdr:rowOff>57150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1924050</xdr:colOff>
          <xdr:row>41</xdr:row>
          <xdr:rowOff>171450</xdr:rowOff>
        </xdr:from>
        <xdr:to>
          <xdr:col>2</xdr:col>
          <xdr:colOff>0</xdr:colOff>
          <xdr:row>43</xdr:row>
          <xdr:rowOff>47625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41</xdr:row>
          <xdr:rowOff>171450</xdr:rowOff>
        </xdr:from>
        <xdr:to>
          <xdr:col>2</xdr:col>
          <xdr:colOff>400050</xdr:colOff>
          <xdr:row>43</xdr:row>
          <xdr:rowOff>47625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9</xdr:row>
          <xdr:rowOff>28575</xdr:rowOff>
        </xdr:from>
        <xdr:to>
          <xdr:col>3</xdr:col>
          <xdr:colOff>800100</xdr:colOff>
          <xdr:row>10</xdr:row>
          <xdr:rowOff>57150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5</xdr:row>
          <xdr:rowOff>142875</xdr:rowOff>
        </xdr:from>
        <xdr:to>
          <xdr:col>3</xdr:col>
          <xdr:colOff>790575</xdr:colOff>
          <xdr:row>6</xdr:row>
          <xdr:rowOff>209550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Batteriefertigung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6</xdr:row>
          <xdr:rowOff>142875</xdr:rowOff>
        </xdr:from>
        <xdr:to>
          <xdr:col>3</xdr:col>
          <xdr:colOff>866775</xdr:colOff>
          <xdr:row>7</xdr:row>
          <xdr:rowOff>180975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Zylinderkopf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8</xdr:row>
          <xdr:rowOff>76200</xdr:rowOff>
        </xdr:from>
        <xdr:to>
          <xdr:col>3</xdr:col>
          <xdr:colOff>771525</xdr:colOff>
          <xdr:row>9</xdr:row>
          <xdr:rowOff>104775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7</xdr:row>
          <xdr:rowOff>104775</xdr:rowOff>
        </xdr:from>
        <xdr:to>
          <xdr:col>3</xdr:col>
          <xdr:colOff>781050</xdr:colOff>
          <xdr:row>8</xdr:row>
          <xdr:rowOff>171450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Sarajevo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9</xdr:row>
          <xdr:rowOff>228600</xdr:rowOff>
        </xdr:from>
        <xdr:to>
          <xdr:col>3</xdr:col>
          <xdr:colOff>790575</xdr:colOff>
          <xdr:row>11</xdr:row>
          <xdr:rowOff>28575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4</xdr:row>
          <xdr:rowOff>114300</xdr:rowOff>
        </xdr:from>
        <xdr:to>
          <xdr:col>3</xdr:col>
          <xdr:colOff>857250</xdr:colOff>
          <xdr:row>5</xdr:row>
          <xdr:rowOff>38100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4</xdr:row>
          <xdr:rowOff>276225</xdr:rowOff>
        </xdr:from>
        <xdr:to>
          <xdr:col>3</xdr:col>
          <xdr:colOff>857250</xdr:colOff>
          <xdr:row>6</xdr:row>
          <xdr:rowOff>9525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Müllentsorgung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2247900</xdr:colOff>
          <xdr:row>3</xdr:row>
          <xdr:rowOff>142875</xdr:rowOff>
        </xdr:from>
        <xdr:to>
          <xdr:col>4</xdr:col>
          <xdr:colOff>276225</xdr:colOff>
          <xdr:row>4</xdr:row>
          <xdr:rowOff>209550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Behältermanagemant 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76200</xdr:colOff>
      <xdr:row>41</xdr:row>
      <xdr:rowOff>0</xdr:rowOff>
    </xdr:from>
    <xdr:to>
      <xdr:col>4</xdr:col>
      <xdr:colOff>857250</xdr:colOff>
      <xdr:row>43</xdr:row>
      <xdr:rowOff>95250</xdr:rowOff>
    </xdr:to>
    <xdr:sp macro="" textlink="">
      <xdr:nvSpPr>
        <xdr:cNvPr id="3" name="Pfeil: nach rechts 2">
          <a:extLst>
            <a:ext uri="{FF2B5EF4-FFF2-40B4-BE49-F238E27FC236}">
              <a16:creationId xmlns:a16="http://schemas.microsoft.com/office/drawing/2014/main" id="{87D4A806-2106-41B1-8828-4548ECE62760}"/>
            </a:ext>
          </a:extLst>
        </xdr:cNvPr>
        <xdr:cNvSpPr/>
      </xdr:nvSpPr>
      <xdr:spPr>
        <a:xfrm>
          <a:off x="6219825" y="8696325"/>
          <a:ext cx="419100" cy="476250"/>
        </a:xfrm>
        <a:prstGeom prst="rightArrow">
          <a:avLst/>
        </a:prstGeom>
        <a:solidFill>
          <a:schemeClr val="bg1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39</xdr:row>
          <xdr:rowOff>190500</xdr:rowOff>
        </xdr:from>
        <xdr:to>
          <xdr:col>2</xdr:col>
          <xdr:colOff>19050</xdr:colOff>
          <xdr:row>41</xdr:row>
          <xdr:rowOff>57150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1</xdr:col>
          <xdr:colOff>647700</xdr:colOff>
          <xdr:row>31</xdr:row>
          <xdr:rowOff>66675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64</xdr:row>
      <xdr:rowOff>161925</xdr:rowOff>
    </xdr:from>
    <xdr:to>
      <xdr:col>9</xdr:col>
      <xdr:colOff>457200</xdr:colOff>
      <xdr:row>73</xdr:row>
      <xdr:rowOff>133350</xdr:rowOff>
    </xdr:to>
    <xdr:sp macro="" textlink="">
      <xdr:nvSpPr>
        <xdr:cNvPr id="2" name="Textfeld 16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8124825" y="13239750"/>
          <a:ext cx="29527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0" tIns="0" rIns="0" bIns="0" anchor="t" upright="1"/>
        <a:lstStyle/>
        <a:p>
          <a:pPr algn="r" rtl="0">
            <a:defRPr sz="1000"/>
          </a:pPr>
          <a:r>
            <a:rPr lang="de-DE" sz="1200" b="0" i="0" u="none" strike="noStrike" baseline="0">
              <a:solidFill>
                <a:srgbClr val="009FE3"/>
              </a:solidFill>
              <a:latin typeface="Calibri"/>
              <a:cs typeface="Calibri"/>
            </a:rPr>
            <a:t>..</a:t>
          </a:r>
          <a:r>
            <a:rPr lang="de-DE" sz="12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5</xdr:row>
          <xdr:rowOff>0</xdr:rowOff>
        </xdr:from>
        <xdr:to>
          <xdr:col>6</xdr:col>
          <xdr:colOff>66675</xdr:colOff>
          <xdr:row>6</xdr:row>
          <xdr:rowOff>66675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Ladesäulen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2238375</xdr:colOff>
          <xdr:row>30</xdr:row>
          <xdr:rowOff>0</xdr:rowOff>
        </xdr:from>
        <xdr:to>
          <xdr:col>2</xdr:col>
          <xdr:colOff>276225</xdr:colOff>
          <xdr:row>31</xdr:row>
          <xdr:rowOff>66675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4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30</xdr:row>
          <xdr:rowOff>0</xdr:rowOff>
        </xdr:from>
        <xdr:to>
          <xdr:col>4</xdr:col>
          <xdr:colOff>0</xdr:colOff>
          <xdr:row>31</xdr:row>
          <xdr:rowOff>66675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2247900</xdr:colOff>
          <xdr:row>40</xdr:row>
          <xdr:rowOff>0</xdr:rowOff>
        </xdr:from>
        <xdr:to>
          <xdr:col>2</xdr:col>
          <xdr:colOff>276225</xdr:colOff>
          <xdr:row>41</xdr:row>
          <xdr:rowOff>66675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4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723900</xdr:colOff>
          <xdr:row>40</xdr:row>
          <xdr:rowOff>0</xdr:rowOff>
        </xdr:from>
        <xdr:to>
          <xdr:col>4</xdr:col>
          <xdr:colOff>0</xdr:colOff>
          <xdr:row>41</xdr:row>
          <xdr:rowOff>66675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4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0</xdr:rowOff>
        </xdr:from>
        <xdr:to>
          <xdr:col>2</xdr:col>
          <xdr:colOff>276225</xdr:colOff>
          <xdr:row>43</xdr:row>
          <xdr:rowOff>66675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4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4</xdr:col>
          <xdr:colOff>0</xdr:colOff>
          <xdr:row>43</xdr:row>
          <xdr:rowOff>66675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4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10</xdr:row>
          <xdr:rowOff>38100</xdr:rowOff>
        </xdr:from>
        <xdr:to>
          <xdr:col>6</xdr:col>
          <xdr:colOff>66675</xdr:colOff>
          <xdr:row>11</xdr:row>
          <xdr:rowOff>66675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4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Wärmetauscher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6</xdr:row>
          <xdr:rowOff>9525</xdr:rowOff>
        </xdr:from>
        <xdr:to>
          <xdr:col>6</xdr:col>
          <xdr:colOff>57150</xdr:colOff>
          <xdr:row>7</xdr:row>
          <xdr:rowOff>57150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4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E-Traktion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7</xdr:row>
          <xdr:rowOff>9525</xdr:rowOff>
        </xdr:from>
        <xdr:to>
          <xdr:col>6</xdr:col>
          <xdr:colOff>142875</xdr:colOff>
          <xdr:row>8</xdr:row>
          <xdr:rowOff>66675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4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Zylinderkopf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9</xdr:row>
          <xdr:rowOff>38100</xdr:rowOff>
        </xdr:from>
        <xdr:to>
          <xdr:col>6</xdr:col>
          <xdr:colOff>47625</xdr:colOff>
          <xdr:row>10</xdr:row>
          <xdr:rowOff>66675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4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Leergut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8</xdr:row>
          <xdr:rowOff>28575</xdr:rowOff>
        </xdr:from>
        <xdr:to>
          <xdr:col>6</xdr:col>
          <xdr:colOff>57150</xdr:colOff>
          <xdr:row>9</xdr:row>
          <xdr:rowOff>57150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4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Maschinenteile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11</xdr:row>
          <xdr:rowOff>28575</xdr:rowOff>
        </xdr:from>
        <xdr:to>
          <xdr:col>6</xdr:col>
          <xdr:colOff>66675</xdr:colOff>
          <xdr:row>12</xdr:row>
          <xdr:rowOff>47625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4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Gießerei</a:t>
              </a:r>
            </a:p>
          </xdr:txBody>
        </xdr:sp>
        <xdr:clientData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13" Type="http://schemas.openxmlformats.org/officeDocument/2006/relationships/ctrlProp" Target="../ctrlProps/ctrlProp25.xml"/><Relationship Id="rId18" Type="http://schemas.openxmlformats.org/officeDocument/2006/relationships/ctrlProp" Target="../ctrlProps/ctrlProp30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33.xml"/><Relationship Id="rId7" Type="http://schemas.openxmlformats.org/officeDocument/2006/relationships/ctrlProp" Target="../ctrlProps/ctrlProp19.xml"/><Relationship Id="rId12" Type="http://schemas.openxmlformats.org/officeDocument/2006/relationships/ctrlProp" Target="../ctrlProps/ctrlProp24.xml"/><Relationship Id="rId17" Type="http://schemas.openxmlformats.org/officeDocument/2006/relationships/ctrlProp" Target="../ctrlProps/ctrlProp29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8.xml"/><Relationship Id="rId20" Type="http://schemas.openxmlformats.org/officeDocument/2006/relationships/ctrlProp" Target="../ctrlProps/ctrlProp3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5" Type="http://schemas.openxmlformats.org/officeDocument/2006/relationships/ctrlProp" Target="../ctrlProps/ctrlProp27.xml"/><Relationship Id="rId10" Type="http://schemas.openxmlformats.org/officeDocument/2006/relationships/ctrlProp" Target="../ctrlProps/ctrlProp22.xml"/><Relationship Id="rId19" Type="http://schemas.openxmlformats.org/officeDocument/2006/relationships/ctrlProp" Target="../ctrlProps/ctrlProp31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Relationship Id="rId14" Type="http://schemas.openxmlformats.org/officeDocument/2006/relationships/ctrlProp" Target="../ctrlProps/ctrlProp2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8.xml"/><Relationship Id="rId13" Type="http://schemas.openxmlformats.org/officeDocument/2006/relationships/ctrlProp" Target="../ctrlProps/ctrlProp4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7.xml"/><Relationship Id="rId12" Type="http://schemas.openxmlformats.org/officeDocument/2006/relationships/ctrlProp" Target="../ctrlProps/ctrlProp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4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6.xml"/><Relationship Id="rId11" Type="http://schemas.openxmlformats.org/officeDocument/2006/relationships/ctrlProp" Target="../ctrlProps/ctrlProp41.xml"/><Relationship Id="rId5" Type="http://schemas.openxmlformats.org/officeDocument/2006/relationships/ctrlProp" Target="../ctrlProps/ctrlProp35.xml"/><Relationship Id="rId15" Type="http://schemas.openxmlformats.org/officeDocument/2006/relationships/ctrlProp" Target="../ctrlProps/ctrlProp45.xml"/><Relationship Id="rId10" Type="http://schemas.openxmlformats.org/officeDocument/2006/relationships/ctrlProp" Target="../ctrlProps/ctrlProp40.xml"/><Relationship Id="rId4" Type="http://schemas.openxmlformats.org/officeDocument/2006/relationships/ctrlProp" Target="../ctrlProps/ctrlProp34.xml"/><Relationship Id="rId9" Type="http://schemas.openxmlformats.org/officeDocument/2006/relationships/ctrlProp" Target="../ctrlProps/ctrlProp39.xml"/><Relationship Id="rId14" Type="http://schemas.openxmlformats.org/officeDocument/2006/relationships/ctrlProp" Target="../ctrlProps/ctrlProp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687E-A6F4-4D9E-96B5-1CDCC490CB66}">
  <dimension ref="A1:F84"/>
  <sheetViews>
    <sheetView tabSelected="1" view="pageBreakPreview" topLeftCell="A46" zoomScale="110" zoomScaleNormal="100" zoomScaleSheetLayoutView="110" workbookViewId="0">
      <selection activeCell="A58" sqref="A58"/>
    </sheetView>
  </sheetViews>
  <sheetFormatPr baseColWidth="10" defaultRowHeight="15" x14ac:dyDescent="0.25"/>
  <cols>
    <col min="1" max="1" width="29" customWidth="1"/>
    <col min="2" max="2" width="12.28515625" customWidth="1"/>
    <col min="3" max="3" width="34.28515625" customWidth="1"/>
    <col min="4" max="4" width="16.5703125" customWidth="1"/>
    <col min="5" max="5" width="7.42578125" customWidth="1"/>
  </cols>
  <sheetData>
    <row r="1" spans="1:5" x14ac:dyDescent="0.25">
      <c r="A1" s="28" t="s">
        <v>39</v>
      </c>
      <c r="B1" s="29"/>
      <c r="C1" s="78" t="e" vm="1">
        <v>#VALUE!</v>
      </c>
      <c r="D1" s="78"/>
      <c r="E1" s="78"/>
    </row>
    <row r="2" spans="1:5" x14ac:dyDescent="0.25">
      <c r="A2" s="7" t="s">
        <v>40</v>
      </c>
      <c r="B2" s="8"/>
      <c r="C2" s="79"/>
      <c r="D2" s="79"/>
      <c r="E2" s="79"/>
    </row>
    <row r="3" spans="1:5" x14ac:dyDescent="0.25">
      <c r="A3" s="7" t="s">
        <v>36</v>
      </c>
      <c r="B3" s="8"/>
      <c r="C3" s="79"/>
      <c r="D3" s="79"/>
      <c r="E3" s="79"/>
    </row>
    <row r="4" spans="1:5" ht="15.75" thickBot="1" x14ac:dyDescent="0.3">
      <c r="A4" s="10"/>
      <c r="C4" s="21" t="s">
        <v>5</v>
      </c>
      <c r="E4" s="9"/>
    </row>
    <row r="5" spans="1:5" ht="26.25" thickBot="1" x14ac:dyDescent="0.3">
      <c r="A5" s="22" t="s">
        <v>18</v>
      </c>
      <c r="B5" s="8"/>
      <c r="E5" s="9"/>
    </row>
    <row r="6" spans="1:5" x14ac:dyDescent="0.25">
      <c r="A6" s="10"/>
      <c r="E6" s="9"/>
    </row>
    <row r="7" spans="1:5" ht="17.25" thickBot="1" x14ac:dyDescent="0.3">
      <c r="A7" s="20" t="s">
        <v>22</v>
      </c>
      <c r="B7" s="80">
        <v>1978</v>
      </c>
      <c r="C7" s="80"/>
      <c r="E7" s="9"/>
    </row>
    <row r="8" spans="1:5" ht="15.75" x14ac:dyDescent="0.25">
      <c r="A8" s="11"/>
      <c r="B8" s="37"/>
      <c r="E8" s="9"/>
    </row>
    <row r="9" spans="1:5" ht="18" customHeight="1" thickBot="1" x14ac:dyDescent="0.3">
      <c r="A9" s="20" t="s">
        <v>27</v>
      </c>
      <c r="B9" s="81">
        <v>0.61458333333333337</v>
      </c>
      <c r="C9" s="81"/>
      <c r="E9" s="9"/>
    </row>
    <row r="10" spans="1:5" ht="18" customHeight="1" x14ac:dyDescent="0.25">
      <c r="A10" s="20"/>
      <c r="B10" s="40"/>
      <c r="C10" s="25"/>
      <c r="E10" s="9"/>
    </row>
    <row r="11" spans="1:5" ht="18" customHeight="1" thickBot="1" x14ac:dyDescent="0.3">
      <c r="A11" s="20" t="s">
        <v>21</v>
      </c>
      <c r="B11" s="82">
        <v>45917</v>
      </c>
      <c r="C11" s="83"/>
      <c r="E11" s="9"/>
    </row>
    <row r="12" spans="1:5" ht="18.75" thickBot="1" x14ac:dyDescent="0.3">
      <c r="A12" s="12"/>
      <c r="B12" s="24"/>
      <c r="C12" s="26"/>
      <c r="D12" s="4"/>
      <c r="E12" s="13"/>
    </row>
    <row r="13" spans="1:5" ht="26.25" thickBot="1" x14ac:dyDescent="0.3">
      <c r="A13" s="22" t="s">
        <v>17</v>
      </c>
      <c r="B13" s="76"/>
      <c r="C13" s="76"/>
      <c r="D13" s="32"/>
      <c r="E13" s="33"/>
    </row>
    <row r="14" spans="1:5" x14ac:dyDescent="0.25">
      <c r="A14" s="14"/>
      <c r="E14" s="9"/>
    </row>
    <row r="15" spans="1:5" x14ac:dyDescent="0.25">
      <c r="A15" s="18" t="s">
        <v>6</v>
      </c>
      <c r="E15" s="9"/>
    </row>
    <row r="16" spans="1:5" x14ac:dyDescent="0.25">
      <c r="A16" s="14"/>
      <c r="E16" s="9"/>
    </row>
    <row r="17" spans="1:5" ht="15.75" thickBot="1" x14ac:dyDescent="0.3">
      <c r="A17" s="15" t="s">
        <v>3</v>
      </c>
      <c r="B17" s="71" t="s">
        <v>109</v>
      </c>
      <c r="C17" s="71"/>
      <c r="E17" s="9"/>
    </row>
    <row r="18" spans="1:5" x14ac:dyDescent="0.25">
      <c r="A18" s="14"/>
      <c r="E18" s="9"/>
    </row>
    <row r="19" spans="1:5" ht="15.75" thickBot="1" x14ac:dyDescent="0.3">
      <c r="A19" s="15" t="s">
        <v>4</v>
      </c>
      <c r="B19" s="77" t="s">
        <v>110</v>
      </c>
      <c r="C19" s="77"/>
      <c r="E19" s="9"/>
    </row>
    <row r="20" spans="1:5" x14ac:dyDescent="0.25">
      <c r="A20" s="14"/>
      <c r="E20" s="9"/>
    </row>
    <row r="21" spans="1:5" ht="15.75" thickBot="1" x14ac:dyDescent="0.3">
      <c r="A21" s="15" t="s">
        <v>26</v>
      </c>
      <c r="B21" s="77"/>
      <c r="C21" s="71"/>
      <c r="E21" s="9"/>
    </row>
    <row r="22" spans="1:5" x14ac:dyDescent="0.25">
      <c r="A22" s="14"/>
      <c r="B22" s="37"/>
      <c r="E22" s="9"/>
    </row>
    <row r="23" spans="1:5" ht="15.75" thickBot="1" x14ac:dyDescent="0.3">
      <c r="A23" s="15" t="s">
        <v>106</v>
      </c>
      <c r="B23" s="77"/>
      <c r="C23" s="77"/>
      <c r="E23" s="9"/>
    </row>
    <row r="24" spans="1:5" ht="15.75" thickBot="1" x14ac:dyDescent="0.3">
      <c r="A24" s="12"/>
      <c r="B24" s="4"/>
      <c r="C24" s="4"/>
      <c r="D24" s="4"/>
      <c r="E24" s="13"/>
    </row>
    <row r="25" spans="1:5" ht="26.25" thickBot="1" x14ac:dyDescent="0.3">
      <c r="A25" s="22" t="s">
        <v>19</v>
      </c>
      <c r="B25" s="1"/>
      <c r="C25" s="1"/>
      <c r="D25" s="1"/>
      <c r="E25" s="9"/>
    </row>
    <row r="26" spans="1:5" x14ac:dyDescent="0.25">
      <c r="A26" s="16"/>
      <c r="B26" s="1"/>
      <c r="C26" s="1"/>
      <c r="D26" s="1"/>
      <c r="E26" s="9"/>
    </row>
    <row r="27" spans="1:5" x14ac:dyDescent="0.25">
      <c r="A27" s="18" t="s">
        <v>7</v>
      </c>
      <c r="B27" s="17"/>
      <c r="E27" s="9"/>
    </row>
    <row r="28" spans="1:5" x14ac:dyDescent="0.25">
      <c r="A28" s="14"/>
      <c r="E28" s="9"/>
    </row>
    <row r="29" spans="1:5" ht="15.75" thickBot="1" x14ac:dyDescent="0.3">
      <c r="A29" s="15" t="s">
        <v>11</v>
      </c>
      <c r="B29" s="47"/>
      <c r="C29" s="21" t="s">
        <v>12</v>
      </c>
      <c r="D29" s="52">
        <f>D77</f>
        <v>78</v>
      </c>
      <c r="E29" s="9"/>
    </row>
    <row r="30" spans="1:5" x14ac:dyDescent="0.25">
      <c r="A30" s="14"/>
      <c r="E30" s="9"/>
    </row>
    <row r="31" spans="1:5" x14ac:dyDescent="0.25">
      <c r="A31" s="15" t="s">
        <v>8</v>
      </c>
      <c r="B31" s="2"/>
      <c r="E31" s="9"/>
    </row>
    <row r="32" spans="1:5" x14ac:dyDescent="0.25">
      <c r="A32" s="14"/>
      <c r="E32" s="9"/>
    </row>
    <row r="33" spans="1:6" ht="15.75" thickBot="1" x14ac:dyDescent="0.3">
      <c r="A33" s="18" t="s">
        <v>9</v>
      </c>
      <c r="B33" s="71"/>
      <c r="C33" s="71"/>
      <c r="E33" s="9"/>
    </row>
    <row r="34" spans="1:6" x14ac:dyDescent="0.25">
      <c r="A34" s="18"/>
      <c r="E34" s="9"/>
    </row>
    <row r="35" spans="1:6" ht="15.75" thickBot="1" x14ac:dyDescent="0.3">
      <c r="A35" s="15" t="s">
        <v>29</v>
      </c>
      <c r="B35" s="71"/>
      <c r="C35" s="71"/>
      <c r="E35" s="9"/>
    </row>
    <row r="36" spans="1:6" x14ac:dyDescent="0.25">
      <c r="A36" s="18"/>
      <c r="E36" s="9"/>
    </row>
    <row r="37" spans="1:6" ht="15.75" thickBot="1" x14ac:dyDescent="0.3">
      <c r="A37" s="23" t="s">
        <v>15</v>
      </c>
      <c r="B37" s="71"/>
      <c r="C37" s="71"/>
      <c r="E37" s="9"/>
    </row>
    <row r="38" spans="1:6" ht="15.75" thickBot="1" x14ac:dyDescent="0.3">
      <c r="A38" s="14"/>
      <c r="E38" s="9"/>
    </row>
    <row r="39" spans="1:6" ht="26.25" thickBot="1" x14ac:dyDescent="0.3">
      <c r="A39" s="48" t="s">
        <v>18</v>
      </c>
      <c r="B39" s="5"/>
      <c r="C39" s="6"/>
      <c r="D39" s="5"/>
      <c r="E39" s="6"/>
    </row>
    <row r="40" spans="1:6" ht="15.75" thickBot="1" x14ac:dyDescent="0.3">
      <c r="A40" s="14"/>
      <c r="C40" s="9"/>
      <c r="E40" s="9"/>
    </row>
    <row r="41" spans="1:6" x14ac:dyDescent="0.25">
      <c r="A41" s="15" t="s">
        <v>10</v>
      </c>
      <c r="B41" s="17"/>
      <c r="C41" s="9"/>
      <c r="D41" s="84" t="s">
        <v>104</v>
      </c>
      <c r="E41" s="27"/>
    </row>
    <row r="42" spans="1:6" x14ac:dyDescent="0.25">
      <c r="A42" s="15"/>
      <c r="B42" s="17"/>
      <c r="C42" s="9"/>
      <c r="D42" s="85"/>
      <c r="E42" s="27"/>
    </row>
    <row r="43" spans="1:6" x14ac:dyDescent="0.25">
      <c r="A43" s="15" t="s">
        <v>32</v>
      </c>
      <c r="C43" s="9"/>
      <c r="D43" s="85"/>
      <c r="E43" s="9"/>
    </row>
    <row r="44" spans="1:6" x14ac:dyDescent="0.25">
      <c r="A44" s="15"/>
      <c r="C44" s="9"/>
      <c r="D44" s="85"/>
      <c r="E44" s="27"/>
    </row>
    <row r="45" spans="1:6" x14ac:dyDescent="0.25">
      <c r="A45" s="18" t="s">
        <v>14</v>
      </c>
      <c r="B45" s="49"/>
      <c r="C45" s="9"/>
      <c r="D45" s="85"/>
      <c r="E45" s="9"/>
    </row>
    <row r="46" spans="1:6" x14ac:dyDescent="0.25">
      <c r="A46" s="14"/>
      <c r="B46" s="49"/>
      <c r="C46" s="9"/>
      <c r="D46" s="85"/>
      <c r="E46" s="27"/>
    </row>
    <row r="47" spans="1:6" ht="15.75" thickBot="1" x14ac:dyDescent="0.3">
      <c r="A47" s="15" t="s">
        <v>25</v>
      </c>
      <c r="B47" s="87"/>
      <c r="C47" s="88"/>
      <c r="D47" s="85"/>
      <c r="E47" s="27"/>
      <c r="F47" s="1"/>
    </row>
    <row r="48" spans="1:6" x14ac:dyDescent="0.25">
      <c r="A48" s="15"/>
      <c r="C48" s="9"/>
      <c r="D48" s="85"/>
      <c r="E48" s="9"/>
    </row>
    <row r="49" spans="1:5" ht="20.25" customHeight="1" thickBot="1" x14ac:dyDescent="0.3">
      <c r="A49" s="15" t="s">
        <v>24</v>
      </c>
      <c r="B49" s="71"/>
      <c r="C49" s="89"/>
      <c r="D49" s="85"/>
      <c r="E49" s="27"/>
    </row>
    <row r="50" spans="1:5" x14ac:dyDescent="0.25">
      <c r="A50" s="14"/>
      <c r="B50" s="49"/>
      <c r="C50" s="9"/>
      <c r="D50" s="85"/>
      <c r="E50" s="9"/>
    </row>
    <row r="51" spans="1:5" ht="15.75" thickBot="1" x14ac:dyDescent="0.3">
      <c r="A51" s="23"/>
      <c r="B51" s="49"/>
      <c r="C51" s="9"/>
      <c r="D51" s="86"/>
      <c r="E51" s="9"/>
    </row>
    <row r="52" spans="1:5" ht="15.75" thickBot="1" x14ac:dyDescent="0.3">
      <c r="A52" s="23" t="s">
        <v>15</v>
      </c>
      <c r="B52" s="74"/>
      <c r="C52" s="75"/>
      <c r="E52" s="9"/>
    </row>
    <row r="53" spans="1:5" ht="15.75" thickBot="1" x14ac:dyDescent="0.3">
      <c r="A53" s="12"/>
      <c r="B53" s="4"/>
      <c r="C53" s="13"/>
      <c r="D53" s="4"/>
      <c r="E53" s="13"/>
    </row>
    <row r="55" spans="1:5" ht="15.75" thickBot="1" x14ac:dyDescent="0.3"/>
    <row r="56" spans="1:5" ht="15" customHeight="1" x14ac:dyDescent="0.25">
      <c r="A56" s="67" t="s">
        <v>101</v>
      </c>
      <c r="B56" s="69" t="s">
        <v>102</v>
      </c>
      <c r="C56" s="69" t="s">
        <v>105</v>
      </c>
      <c r="D56" s="69" t="s">
        <v>38</v>
      </c>
      <c r="E56" s="72" t="s">
        <v>103</v>
      </c>
    </row>
    <row r="57" spans="1:5" ht="15.75" thickBot="1" x14ac:dyDescent="0.3">
      <c r="A57" s="68"/>
      <c r="B57" s="70"/>
      <c r="C57" s="70"/>
      <c r="D57" s="70"/>
      <c r="E57" s="73"/>
    </row>
    <row r="58" spans="1:5" ht="22.5" customHeight="1" x14ac:dyDescent="0.25">
      <c r="A58" s="65"/>
      <c r="B58" s="62"/>
      <c r="C58" s="63" t="s">
        <v>111</v>
      </c>
      <c r="D58" s="63">
        <v>78</v>
      </c>
      <c r="E58" s="50"/>
    </row>
    <row r="59" spans="1:5" ht="22.5" customHeight="1" x14ac:dyDescent="0.25">
      <c r="A59" s="56"/>
      <c r="B59" s="61"/>
      <c r="C59" s="54"/>
      <c r="D59" s="54"/>
      <c r="E59" s="45"/>
    </row>
    <row r="60" spans="1:5" ht="22.5" customHeight="1" x14ac:dyDescent="0.25">
      <c r="A60" s="56"/>
      <c r="B60" s="61"/>
      <c r="C60" s="54"/>
      <c r="D60" s="54"/>
      <c r="E60" s="45"/>
    </row>
    <row r="61" spans="1:5" ht="22.5" customHeight="1" x14ac:dyDescent="0.25">
      <c r="A61" s="56"/>
      <c r="B61" s="61"/>
      <c r="C61" s="54"/>
      <c r="D61" s="54"/>
      <c r="E61" s="44"/>
    </row>
    <row r="62" spans="1:5" ht="22.5" customHeight="1" x14ac:dyDescent="0.25">
      <c r="A62" s="56"/>
      <c r="B62" s="61"/>
      <c r="C62" s="54"/>
      <c r="D62" s="54"/>
      <c r="E62" s="44"/>
    </row>
    <row r="63" spans="1:5" ht="22.5" customHeight="1" x14ac:dyDescent="0.25">
      <c r="A63" s="56"/>
      <c r="B63" s="60"/>
      <c r="C63" s="54"/>
      <c r="D63" s="54"/>
      <c r="E63" s="44"/>
    </row>
    <row r="64" spans="1:5" ht="22.5" customHeight="1" x14ac:dyDescent="0.25">
      <c r="A64" s="56"/>
      <c r="B64" s="60"/>
      <c r="C64" s="54"/>
      <c r="D64" s="54"/>
      <c r="E64" s="44"/>
    </row>
    <row r="65" spans="1:5" ht="22.5" customHeight="1" x14ac:dyDescent="0.25">
      <c r="A65" s="56"/>
      <c r="B65" s="60"/>
      <c r="C65" s="54"/>
      <c r="D65" s="54"/>
      <c r="E65" s="59"/>
    </row>
    <row r="66" spans="1:5" ht="22.5" customHeight="1" x14ac:dyDescent="0.25">
      <c r="A66" s="56"/>
      <c r="B66" s="60"/>
      <c r="C66" s="54"/>
      <c r="D66" s="54"/>
      <c r="E66" s="59"/>
    </row>
    <row r="67" spans="1:5" ht="22.5" customHeight="1" x14ac:dyDescent="0.25">
      <c r="A67" s="56"/>
      <c r="B67" s="57"/>
      <c r="C67" s="54"/>
      <c r="D67" s="54"/>
      <c r="E67" s="44"/>
    </row>
    <row r="68" spans="1:5" ht="22.5" customHeight="1" x14ac:dyDescent="0.25">
      <c r="A68" s="56"/>
      <c r="B68" s="46"/>
      <c r="C68" s="54"/>
      <c r="D68" s="54"/>
      <c r="E68" s="44"/>
    </row>
    <row r="69" spans="1:5" ht="22.5" customHeight="1" x14ac:dyDescent="0.25">
      <c r="A69" s="56"/>
      <c r="B69" s="44"/>
      <c r="C69" s="54"/>
      <c r="D69" s="54"/>
      <c r="E69" s="44"/>
    </row>
    <row r="70" spans="1:5" ht="22.5" customHeight="1" x14ac:dyDescent="0.25">
      <c r="A70" s="56"/>
      <c r="B70" s="44"/>
      <c r="C70" s="54"/>
      <c r="D70" s="54"/>
      <c r="E70" s="44"/>
    </row>
    <row r="71" spans="1:5" ht="22.5" customHeight="1" x14ac:dyDescent="0.25">
      <c r="A71" s="56"/>
      <c r="B71" s="44"/>
      <c r="C71" s="54"/>
      <c r="D71" s="54"/>
      <c r="E71" s="44"/>
    </row>
    <row r="72" spans="1:5" ht="22.5" customHeight="1" x14ac:dyDescent="0.25">
      <c r="A72" s="56"/>
      <c r="B72" s="44"/>
      <c r="C72" s="54"/>
      <c r="D72" s="54"/>
      <c r="E72" s="44"/>
    </row>
    <row r="73" spans="1:5" ht="22.5" customHeight="1" x14ac:dyDescent="0.25">
      <c r="A73" s="56"/>
      <c r="B73" s="44"/>
      <c r="C73" s="54"/>
      <c r="D73" s="54"/>
      <c r="E73" s="44"/>
    </row>
    <row r="74" spans="1:5" ht="22.5" customHeight="1" x14ac:dyDescent="0.25">
      <c r="A74" s="56"/>
      <c r="B74" s="44"/>
      <c r="C74" s="54"/>
      <c r="D74" s="54"/>
      <c r="E74" s="58"/>
    </row>
    <row r="75" spans="1:5" ht="22.5" customHeight="1" thickBot="1" x14ac:dyDescent="0.3">
      <c r="A75" s="66"/>
      <c r="B75" s="44"/>
      <c r="C75" s="64"/>
      <c r="D75" s="64"/>
      <c r="E75" s="51"/>
    </row>
    <row r="76" spans="1:5" x14ac:dyDescent="0.25">
      <c r="A76" s="56"/>
      <c r="C76" s="54"/>
      <c r="D76" s="54"/>
    </row>
    <row r="77" spans="1:5" x14ac:dyDescent="0.25">
      <c r="A77" s="56"/>
      <c r="C77" s="54"/>
      <c r="D77" s="54">
        <f>D75+D74+D73+D72+D71+D70+D69+D68+D67+D66+D65+D64+D63+D62+D61+D60+D59+D58</f>
        <v>78</v>
      </c>
    </row>
    <row r="79" spans="1:5" ht="15" customHeight="1" x14ac:dyDescent="0.25"/>
    <row r="80" spans="1:5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21">
    <mergeCell ref="C1:E3"/>
    <mergeCell ref="B7:C7"/>
    <mergeCell ref="B9:C9"/>
    <mergeCell ref="B11:C11"/>
    <mergeCell ref="D41:D51"/>
    <mergeCell ref="B47:C47"/>
    <mergeCell ref="B49:C49"/>
    <mergeCell ref="B21:C21"/>
    <mergeCell ref="E56:E57"/>
    <mergeCell ref="B52:C52"/>
    <mergeCell ref="B13:C13"/>
    <mergeCell ref="B23:C23"/>
    <mergeCell ref="B17:C17"/>
    <mergeCell ref="B19:C19"/>
    <mergeCell ref="A56:A57"/>
    <mergeCell ref="B56:B57"/>
    <mergeCell ref="C56:C57"/>
    <mergeCell ref="D56:D57"/>
    <mergeCell ref="B33:C33"/>
    <mergeCell ref="B35:C35"/>
    <mergeCell ref="B37:C37"/>
  </mergeCells>
  <phoneticPr fontId="15" type="noConversion"/>
  <conditionalFormatting sqref="A58:A77">
    <cfRule type="containsText" dxfId="3" priority="1" operator="containsText" text="erledigt">
      <formula>NOT(ISERROR(SEARCH("erledigt",A58)))</formula>
    </cfRule>
  </conditionalFormatting>
  <conditionalFormatting sqref="B58:B68">
    <cfRule type="containsText" dxfId="2" priority="49" operator="containsText" text="erledigt">
      <formula>NOT(ISERROR(SEARCH("erledigt",B58)))</formula>
    </cfRule>
  </conditionalFormatting>
  <conditionalFormatting sqref="C58:D77">
    <cfRule type="containsText" dxfId="1" priority="2" operator="containsText" text="erledigt">
      <formula>NOT(ISERROR(SEARCH("erledigt",C58)))</formula>
    </cfRule>
  </conditionalFormatting>
  <pageMargins left="0.59055118110236227" right="0.59055118110236227" top="0.39370078740157483" bottom="0" header="0.31496062992125984" footer="0.31496062992125984"/>
  <pageSetup paperSize="9" scale="89" orientation="portrait" r:id="rId1"/>
  <rowBreaks count="1" manualBreakCount="1">
    <brk id="53" max="4" man="1"/>
  </rowBreaks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3</xdr:col>
                    <xdr:colOff>9525</xdr:colOff>
                    <xdr:row>3</xdr:row>
                    <xdr:rowOff>95250</xdr:rowOff>
                  </from>
                  <to>
                    <xdr:col>3</xdr:col>
                    <xdr:colOff>876300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5" name="Check Box 17">
              <controlPr defaultSize="0" autoFill="0" autoLine="0" autoPict="0">
                <anchor moveWithCells="1">
                  <from>
                    <xdr:col>0</xdr:col>
                    <xdr:colOff>2238375</xdr:colOff>
                    <xdr:row>30</xdr:row>
                    <xdr:rowOff>0</xdr:rowOff>
                  </from>
                  <to>
                    <xdr:col>2</xdr:col>
                    <xdr:colOff>9525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6" name="Check Box 18">
              <controlPr defaultSize="0" autoFill="0" autoLine="0" autoPict="0">
                <anchor moveWithCells="1">
                  <from>
                    <xdr:col>1</xdr:col>
                    <xdr:colOff>390525</xdr:colOff>
                    <xdr:row>30</xdr:row>
                    <xdr:rowOff>0</xdr:rowOff>
                  </from>
                  <to>
                    <xdr:col>2</xdr:col>
                    <xdr:colOff>400050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7" name="Check Box 19">
              <controlPr defaultSize="0" autoFill="0" autoLine="0" autoPict="0">
                <anchor moveWithCells="1">
                  <from>
                    <xdr:col>0</xdr:col>
                    <xdr:colOff>2247900</xdr:colOff>
                    <xdr:row>40</xdr:row>
                    <xdr:rowOff>0</xdr:rowOff>
                  </from>
                  <to>
                    <xdr:col>2</xdr:col>
                    <xdr:colOff>9525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8" name="Check Box 20">
              <controlPr defaultSize="0" autoFill="0" autoLine="0" autoPict="0">
                <anchor moveWithCells="1">
                  <from>
                    <xdr:col>1</xdr:col>
                    <xdr:colOff>381000</xdr:colOff>
                    <xdr:row>39</xdr:row>
                    <xdr:rowOff>190500</xdr:rowOff>
                  </from>
                  <to>
                    <xdr:col>2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9" name="Check Box 23">
              <controlPr defaultSize="0" autoFill="0" autoLine="0" autoPict="0">
                <anchor moveWithCells="1">
                  <from>
                    <xdr:col>0</xdr:col>
                    <xdr:colOff>1924050</xdr:colOff>
                    <xdr:row>41</xdr:row>
                    <xdr:rowOff>171450</xdr:rowOff>
                  </from>
                  <to>
                    <xdr:col>1</xdr:col>
                    <xdr:colOff>819150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1</xdr:col>
                    <xdr:colOff>400050</xdr:colOff>
                    <xdr:row>41</xdr:row>
                    <xdr:rowOff>171450</xdr:rowOff>
                  </from>
                  <to>
                    <xdr:col>2</xdr:col>
                    <xdr:colOff>400050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1" name="Check Box 29">
              <controlPr defaultSize="0" autoFill="0" autoLine="0" autoPict="0">
                <anchor moveWithCells="1">
                  <from>
                    <xdr:col>3</xdr:col>
                    <xdr:colOff>9525</xdr:colOff>
                    <xdr:row>9</xdr:row>
                    <xdr:rowOff>219075</xdr:rowOff>
                  </from>
                  <to>
                    <xdr:col>3</xdr:col>
                    <xdr:colOff>847725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2" name="Check Box 30">
              <controlPr defaultSize="0" autoFill="0" autoLine="0" autoPict="0">
                <anchor moveWithCells="1">
                  <from>
                    <xdr:col>3</xdr:col>
                    <xdr:colOff>9525</xdr:colOff>
                    <xdr:row>5</xdr:row>
                    <xdr:rowOff>171450</xdr:rowOff>
                  </from>
                  <to>
                    <xdr:col>3</xdr:col>
                    <xdr:colOff>838200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3" name="Check Box 31">
              <controlPr defaultSize="0" autoFill="0" autoLine="0" autoPict="0">
                <anchor moveWithCells="1">
                  <from>
                    <xdr:col>3</xdr:col>
                    <xdr:colOff>9525</xdr:colOff>
                    <xdr:row>6</xdr:row>
                    <xdr:rowOff>190500</xdr:rowOff>
                  </from>
                  <to>
                    <xdr:col>3</xdr:col>
                    <xdr:colOff>914400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4" name="Check Box 33">
              <controlPr defaultSize="0" autoFill="0" autoLine="0" autoPict="0">
                <anchor moveWithCells="1">
                  <from>
                    <xdr:col>3</xdr:col>
                    <xdr:colOff>9525</xdr:colOff>
                    <xdr:row>8</xdr:row>
                    <xdr:rowOff>219075</xdr:rowOff>
                  </from>
                  <to>
                    <xdr:col>3</xdr:col>
                    <xdr:colOff>819150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5" name="Check Box 34">
              <controlPr defaultSize="0" autoFill="0" autoLine="0" autoPict="0">
                <anchor moveWithCells="1">
                  <from>
                    <xdr:col>3</xdr:col>
                    <xdr:colOff>9525</xdr:colOff>
                    <xdr:row>7</xdr:row>
                    <xdr:rowOff>171450</xdr:rowOff>
                  </from>
                  <to>
                    <xdr:col>3</xdr:col>
                    <xdr:colOff>828675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6" name="Check Box 35">
              <controlPr defaultSize="0" autoFill="0" autoLine="0" autoPict="0">
                <anchor moveWithCells="1">
                  <from>
                    <xdr:col>3</xdr:col>
                    <xdr:colOff>9525</xdr:colOff>
                    <xdr:row>10</xdr:row>
                    <xdr:rowOff>200025</xdr:rowOff>
                  </from>
                  <to>
                    <xdr:col>3</xdr:col>
                    <xdr:colOff>838200</xdr:colOff>
                    <xdr:row>11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7" name="Check Box 36">
              <controlPr defaultSize="0" autoFill="0" autoLine="0" autoPict="0">
                <anchor moveWithCells="1">
                  <from>
                    <xdr:col>3</xdr:col>
                    <xdr:colOff>9525</xdr:colOff>
                    <xdr:row>4</xdr:row>
                    <xdr:rowOff>295275</xdr:rowOff>
                  </from>
                  <to>
                    <xdr:col>3</xdr:col>
                    <xdr:colOff>904875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8" name="Check Box 38">
              <controlPr defaultSize="0" autoFill="0" autoLine="0" autoPict="0">
                <anchor moveWithCells="1">
                  <from>
                    <xdr:col>3</xdr:col>
                    <xdr:colOff>9525</xdr:colOff>
                    <xdr:row>4</xdr:row>
                    <xdr:rowOff>85725</xdr:rowOff>
                  </from>
                  <to>
                    <xdr:col>4</xdr:col>
                    <xdr:colOff>323850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ACEC-071D-4482-8DEA-B3D11F054E4D}">
  <dimension ref="A1:C110"/>
  <sheetViews>
    <sheetView topLeftCell="A91" workbookViewId="0">
      <selection activeCell="H122" sqref="H122"/>
    </sheetView>
  </sheetViews>
  <sheetFormatPr baseColWidth="10" defaultRowHeight="15" x14ac:dyDescent="0.25"/>
  <cols>
    <col min="1" max="1" width="4.7109375" bestFit="1" customWidth="1"/>
    <col min="2" max="2" width="6.28515625" customWidth="1"/>
  </cols>
  <sheetData>
    <row r="1" spans="1:2" x14ac:dyDescent="0.25">
      <c r="A1" t="s">
        <v>41</v>
      </c>
      <c r="B1">
        <v>13</v>
      </c>
    </row>
    <row r="2" spans="1:2" x14ac:dyDescent="0.25">
      <c r="A2" t="s">
        <v>41</v>
      </c>
      <c r="B2">
        <v>29</v>
      </c>
    </row>
    <row r="3" spans="1:2" x14ac:dyDescent="0.25">
      <c r="A3" t="s">
        <v>41</v>
      </c>
      <c r="B3">
        <v>94</v>
      </c>
    </row>
    <row r="4" spans="1:2" x14ac:dyDescent="0.25">
      <c r="A4" t="s">
        <v>41</v>
      </c>
      <c r="B4">
        <v>444</v>
      </c>
    </row>
    <row r="5" spans="1:2" x14ac:dyDescent="0.25">
      <c r="A5" t="s">
        <v>41</v>
      </c>
      <c r="B5">
        <v>832</v>
      </c>
    </row>
    <row r="6" spans="1:2" x14ac:dyDescent="0.25">
      <c r="A6" t="s">
        <v>41</v>
      </c>
      <c r="B6">
        <v>873</v>
      </c>
    </row>
    <row r="7" spans="1:2" x14ac:dyDescent="0.25">
      <c r="A7" t="s">
        <v>41</v>
      </c>
      <c r="B7">
        <v>878</v>
      </c>
    </row>
    <row r="8" spans="1:2" x14ac:dyDescent="0.25">
      <c r="A8" t="s">
        <v>41</v>
      </c>
      <c r="B8">
        <v>886</v>
      </c>
    </row>
    <row r="9" spans="1:2" x14ac:dyDescent="0.25">
      <c r="A9" t="s">
        <v>41</v>
      </c>
      <c r="B9">
        <v>889</v>
      </c>
    </row>
    <row r="10" spans="1:2" x14ac:dyDescent="0.25">
      <c r="A10" t="s">
        <v>41</v>
      </c>
      <c r="B10">
        <v>890</v>
      </c>
    </row>
    <row r="11" spans="1:2" x14ac:dyDescent="0.25">
      <c r="A11" t="s">
        <v>41</v>
      </c>
      <c r="B11">
        <v>891</v>
      </c>
    </row>
    <row r="12" spans="1:2" x14ac:dyDescent="0.25">
      <c r="A12" t="s">
        <v>41</v>
      </c>
      <c r="B12">
        <v>892</v>
      </c>
    </row>
    <row r="13" spans="1:2" x14ac:dyDescent="0.25">
      <c r="A13" t="s">
        <v>41</v>
      </c>
      <c r="B13">
        <v>893</v>
      </c>
    </row>
    <row r="14" spans="1:2" x14ac:dyDescent="0.25">
      <c r="A14" t="s">
        <v>41</v>
      </c>
      <c r="B14">
        <v>894</v>
      </c>
    </row>
    <row r="15" spans="1:2" x14ac:dyDescent="0.25">
      <c r="A15" t="s">
        <v>41</v>
      </c>
      <c r="B15">
        <v>895</v>
      </c>
    </row>
    <row r="16" spans="1:2" x14ac:dyDescent="0.25">
      <c r="A16" t="s">
        <v>41</v>
      </c>
      <c r="B16">
        <v>896</v>
      </c>
    </row>
    <row r="17" spans="1:2" x14ac:dyDescent="0.25">
      <c r="A17" t="s">
        <v>41</v>
      </c>
      <c r="B17">
        <v>910</v>
      </c>
    </row>
    <row r="18" spans="1:2" x14ac:dyDescent="0.25">
      <c r="A18" t="s">
        <v>41</v>
      </c>
      <c r="B18">
        <v>911</v>
      </c>
    </row>
    <row r="19" spans="1:2" x14ac:dyDescent="0.25">
      <c r="A19" t="s">
        <v>41</v>
      </c>
      <c r="B19">
        <v>912</v>
      </c>
    </row>
    <row r="20" spans="1:2" x14ac:dyDescent="0.25">
      <c r="A20" t="s">
        <v>41</v>
      </c>
      <c r="B20">
        <v>913</v>
      </c>
    </row>
    <row r="21" spans="1:2" x14ac:dyDescent="0.25">
      <c r="A21" t="s">
        <v>41</v>
      </c>
      <c r="B21">
        <v>915</v>
      </c>
    </row>
    <row r="22" spans="1:2" x14ac:dyDescent="0.25">
      <c r="A22" t="s">
        <v>41</v>
      </c>
      <c r="B22">
        <v>916</v>
      </c>
    </row>
    <row r="23" spans="1:2" x14ac:dyDescent="0.25">
      <c r="A23" t="s">
        <v>41</v>
      </c>
      <c r="B23">
        <v>918</v>
      </c>
    </row>
    <row r="24" spans="1:2" x14ac:dyDescent="0.25">
      <c r="A24" t="s">
        <v>41</v>
      </c>
      <c r="B24">
        <v>918</v>
      </c>
    </row>
    <row r="25" spans="1:2" x14ac:dyDescent="0.25">
      <c r="A25" t="s">
        <v>41</v>
      </c>
      <c r="B25">
        <v>919</v>
      </c>
    </row>
    <row r="26" spans="1:2" x14ac:dyDescent="0.25">
      <c r="A26" t="s">
        <v>41</v>
      </c>
      <c r="B26">
        <v>920</v>
      </c>
    </row>
    <row r="27" spans="1:2" x14ac:dyDescent="0.25">
      <c r="A27" t="s">
        <v>41</v>
      </c>
      <c r="B27">
        <v>921</v>
      </c>
    </row>
    <row r="28" spans="1:2" x14ac:dyDescent="0.25">
      <c r="A28" t="s">
        <v>41</v>
      </c>
      <c r="B28">
        <v>922</v>
      </c>
    </row>
    <row r="29" spans="1:2" x14ac:dyDescent="0.25">
      <c r="A29" t="s">
        <v>41</v>
      </c>
      <c r="B29">
        <v>923</v>
      </c>
    </row>
    <row r="30" spans="1:2" x14ac:dyDescent="0.25">
      <c r="A30" t="s">
        <v>41</v>
      </c>
      <c r="B30">
        <v>924</v>
      </c>
    </row>
    <row r="31" spans="1:2" x14ac:dyDescent="0.25">
      <c r="A31" t="s">
        <v>41</v>
      </c>
      <c r="B31">
        <v>926</v>
      </c>
    </row>
    <row r="32" spans="1:2" x14ac:dyDescent="0.25">
      <c r="A32" t="s">
        <v>41</v>
      </c>
      <c r="B32">
        <v>927</v>
      </c>
    </row>
    <row r="33" spans="1:2" x14ac:dyDescent="0.25">
      <c r="A33" t="s">
        <v>41</v>
      </c>
      <c r="B33">
        <v>930</v>
      </c>
    </row>
    <row r="34" spans="1:2" x14ac:dyDescent="0.25">
      <c r="A34" t="s">
        <v>41</v>
      </c>
      <c r="B34">
        <v>931</v>
      </c>
    </row>
    <row r="35" spans="1:2" x14ac:dyDescent="0.25">
      <c r="A35" t="s">
        <v>41</v>
      </c>
      <c r="B35">
        <v>932</v>
      </c>
    </row>
    <row r="36" spans="1:2" x14ac:dyDescent="0.25">
      <c r="A36" t="s">
        <v>41</v>
      </c>
      <c r="B36">
        <v>934</v>
      </c>
    </row>
    <row r="37" spans="1:2" x14ac:dyDescent="0.25">
      <c r="A37" t="s">
        <v>41</v>
      </c>
      <c r="B37">
        <v>936</v>
      </c>
    </row>
    <row r="38" spans="1:2" x14ac:dyDescent="0.25">
      <c r="A38" t="s">
        <v>41</v>
      </c>
      <c r="B38">
        <v>936</v>
      </c>
    </row>
    <row r="39" spans="1:2" x14ac:dyDescent="0.25">
      <c r="A39" t="s">
        <v>41</v>
      </c>
      <c r="B39">
        <v>937</v>
      </c>
    </row>
    <row r="40" spans="1:2" x14ac:dyDescent="0.25">
      <c r="A40" t="s">
        <v>41</v>
      </c>
      <c r="B40">
        <v>940</v>
      </c>
    </row>
    <row r="41" spans="1:2" x14ac:dyDescent="0.25">
      <c r="A41" t="s">
        <v>41</v>
      </c>
      <c r="B41">
        <v>942</v>
      </c>
    </row>
    <row r="42" spans="1:2" x14ac:dyDescent="0.25">
      <c r="A42" t="s">
        <v>41</v>
      </c>
      <c r="B42">
        <v>943</v>
      </c>
    </row>
    <row r="43" spans="1:2" x14ac:dyDescent="0.25">
      <c r="A43" t="s">
        <v>41</v>
      </c>
      <c r="B43">
        <v>945</v>
      </c>
    </row>
    <row r="44" spans="1:2" x14ac:dyDescent="0.25">
      <c r="A44" t="s">
        <v>41</v>
      </c>
      <c r="B44">
        <v>948</v>
      </c>
    </row>
    <row r="45" spans="1:2" x14ac:dyDescent="0.25">
      <c r="A45" t="s">
        <v>41</v>
      </c>
      <c r="B45">
        <v>948</v>
      </c>
    </row>
    <row r="46" spans="1:2" x14ac:dyDescent="0.25">
      <c r="A46" t="s">
        <v>41</v>
      </c>
      <c r="B46">
        <v>949</v>
      </c>
    </row>
    <row r="47" spans="1:2" x14ac:dyDescent="0.25">
      <c r="A47" t="s">
        <v>41</v>
      </c>
      <c r="B47">
        <v>951</v>
      </c>
    </row>
    <row r="48" spans="1:2" x14ac:dyDescent="0.25">
      <c r="A48" t="s">
        <v>41</v>
      </c>
      <c r="B48">
        <v>952</v>
      </c>
    </row>
    <row r="49" spans="1:2" x14ac:dyDescent="0.25">
      <c r="A49" t="s">
        <v>41</v>
      </c>
      <c r="B49">
        <v>952</v>
      </c>
    </row>
    <row r="50" spans="1:2" x14ac:dyDescent="0.25">
      <c r="A50" t="s">
        <v>41</v>
      </c>
      <c r="B50">
        <v>952</v>
      </c>
    </row>
    <row r="51" spans="1:2" x14ac:dyDescent="0.25">
      <c r="A51" t="s">
        <v>41</v>
      </c>
      <c r="B51">
        <v>953</v>
      </c>
    </row>
    <row r="52" spans="1:2" x14ac:dyDescent="0.25">
      <c r="A52" t="s">
        <v>41</v>
      </c>
      <c r="B52">
        <v>953</v>
      </c>
    </row>
    <row r="53" spans="1:2" x14ac:dyDescent="0.25">
      <c r="A53" t="s">
        <v>41</v>
      </c>
      <c r="B53">
        <v>962</v>
      </c>
    </row>
    <row r="54" spans="1:2" x14ac:dyDescent="0.25">
      <c r="A54" t="s">
        <v>41</v>
      </c>
      <c r="B54">
        <v>966</v>
      </c>
    </row>
    <row r="55" spans="1:2" x14ac:dyDescent="0.25">
      <c r="A55" t="s">
        <v>41</v>
      </c>
      <c r="B55">
        <v>969</v>
      </c>
    </row>
    <row r="56" spans="1:2" x14ac:dyDescent="0.25">
      <c r="A56" t="s">
        <v>41</v>
      </c>
      <c r="B56">
        <v>970</v>
      </c>
    </row>
    <row r="57" spans="1:2" x14ac:dyDescent="0.25">
      <c r="A57" t="s">
        <v>41</v>
      </c>
      <c r="B57">
        <v>971</v>
      </c>
    </row>
    <row r="58" spans="1:2" x14ac:dyDescent="0.25">
      <c r="A58" t="s">
        <v>41</v>
      </c>
      <c r="B58">
        <v>975</v>
      </c>
    </row>
    <row r="59" spans="1:2" x14ac:dyDescent="0.25">
      <c r="A59" t="s">
        <v>41</v>
      </c>
      <c r="B59">
        <v>977</v>
      </c>
    </row>
    <row r="60" spans="1:2" x14ac:dyDescent="0.25">
      <c r="A60" t="s">
        <v>41</v>
      </c>
      <c r="B60">
        <v>978</v>
      </c>
    </row>
    <row r="61" spans="1:2" x14ac:dyDescent="0.25">
      <c r="A61" t="s">
        <v>41</v>
      </c>
      <c r="B61">
        <v>980</v>
      </c>
    </row>
    <row r="62" spans="1:2" x14ac:dyDescent="0.25">
      <c r="A62" t="s">
        <v>41</v>
      </c>
      <c r="B62">
        <v>982</v>
      </c>
    </row>
    <row r="63" spans="1:2" x14ac:dyDescent="0.25">
      <c r="A63" t="s">
        <v>41</v>
      </c>
      <c r="B63">
        <v>983</v>
      </c>
    </row>
    <row r="64" spans="1:2" x14ac:dyDescent="0.25">
      <c r="A64" t="s">
        <v>41</v>
      </c>
      <c r="B64">
        <v>984</v>
      </c>
    </row>
    <row r="65" spans="1:2" x14ac:dyDescent="0.25">
      <c r="A65" t="s">
        <v>41</v>
      </c>
      <c r="B65">
        <v>986</v>
      </c>
    </row>
    <row r="66" spans="1:2" x14ac:dyDescent="0.25">
      <c r="A66" t="s">
        <v>41</v>
      </c>
      <c r="B66">
        <v>988</v>
      </c>
    </row>
    <row r="67" spans="1:2" x14ac:dyDescent="0.25">
      <c r="A67" t="s">
        <v>41</v>
      </c>
      <c r="B67">
        <v>989</v>
      </c>
    </row>
    <row r="68" spans="1:2" x14ac:dyDescent="0.25">
      <c r="A68" t="s">
        <v>41</v>
      </c>
      <c r="B68">
        <v>991</v>
      </c>
    </row>
    <row r="69" spans="1:2" x14ac:dyDescent="0.25">
      <c r="A69" t="s">
        <v>41</v>
      </c>
      <c r="B69">
        <v>992</v>
      </c>
    </row>
    <row r="70" spans="1:2" x14ac:dyDescent="0.25">
      <c r="A70" t="s">
        <v>41</v>
      </c>
      <c r="B70">
        <v>993</v>
      </c>
    </row>
    <row r="71" spans="1:2" x14ac:dyDescent="0.25">
      <c r="A71" t="s">
        <v>41</v>
      </c>
      <c r="B71">
        <v>994</v>
      </c>
    </row>
    <row r="72" spans="1:2" x14ac:dyDescent="0.25">
      <c r="A72" t="s">
        <v>41</v>
      </c>
      <c r="B72">
        <v>996</v>
      </c>
    </row>
    <row r="73" spans="1:2" x14ac:dyDescent="0.25">
      <c r="A73" t="s">
        <v>41</v>
      </c>
      <c r="B73">
        <v>997</v>
      </c>
    </row>
    <row r="74" spans="1:2" x14ac:dyDescent="0.25">
      <c r="A74" t="s">
        <v>41</v>
      </c>
      <c r="B74">
        <v>998</v>
      </c>
    </row>
    <row r="75" spans="1:2" x14ac:dyDescent="0.25">
      <c r="A75" t="s">
        <v>41</v>
      </c>
      <c r="B75">
        <v>999</v>
      </c>
    </row>
    <row r="76" spans="1:2" x14ac:dyDescent="0.25">
      <c r="A76" t="s">
        <v>41</v>
      </c>
      <c r="B76">
        <v>1000</v>
      </c>
    </row>
    <row r="77" spans="1:2" x14ac:dyDescent="0.25">
      <c r="A77" t="s">
        <v>41</v>
      </c>
      <c r="B77">
        <v>1002</v>
      </c>
    </row>
    <row r="78" spans="1:2" x14ac:dyDescent="0.25">
      <c r="A78" t="s">
        <v>41</v>
      </c>
      <c r="B78">
        <v>1004</v>
      </c>
    </row>
    <row r="79" spans="1:2" x14ac:dyDescent="0.25">
      <c r="A79" t="s">
        <v>41</v>
      </c>
      <c r="B79">
        <v>1005</v>
      </c>
    </row>
    <row r="80" spans="1:2" x14ac:dyDescent="0.25">
      <c r="A80" t="s">
        <v>41</v>
      </c>
      <c r="B80">
        <v>1005</v>
      </c>
    </row>
    <row r="81" spans="1:2" x14ac:dyDescent="0.25">
      <c r="A81" t="s">
        <v>41</v>
      </c>
      <c r="B81">
        <v>1006</v>
      </c>
    </row>
    <row r="82" spans="1:2" x14ac:dyDescent="0.25">
      <c r="A82" t="s">
        <v>41</v>
      </c>
      <c r="B82">
        <v>1009</v>
      </c>
    </row>
    <row r="83" spans="1:2" x14ac:dyDescent="0.25">
      <c r="A83" t="s">
        <v>41</v>
      </c>
      <c r="B83">
        <v>1011</v>
      </c>
    </row>
    <row r="84" spans="1:2" x14ac:dyDescent="0.25">
      <c r="A84" t="s">
        <v>41</v>
      </c>
      <c r="B84">
        <v>1012</v>
      </c>
    </row>
    <row r="85" spans="1:2" x14ac:dyDescent="0.25">
      <c r="A85" t="s">
        <v>41</v>
      </c>
      <c r="B85">
        <v>1013</v>
      </c>
    </row>
    <row r="86" spans="1:2" x14ac:dyDescent="0.25">
      <c r="A86" t="s">
        <v>41</v>
      </c>
      <c r="B86">
        <v>1019</v>
      </c>
    </row>
    <row r="87" spans="1:2" x14ac:dyDescent="0.25">
      <c r="A87" t="s">
        <v>41</v>
      </c>
      <c r="B87">
        <v>1020</v>
      </c>
    </row>
    <row r="88" spans="1:2" x14ac:dyDescent="0.25">
      <c r="A88" t="s">
        <v>41</v>
      </c>
      <c r="B88">
        <v>1021</v>
      </c>
    </row>
    <row r="89" spans="1:2" x14ac:dyDescent="0.25">
      <c r="A89" t="s">
        <v>41</v>
      </c>
      <c r="B89">
        <v>1022</v>
      </c>
    </row>
    <row r="90" spans="1:2" x14ac:dyDescent="0.25">
      <c r="A90" t="s">
        <v>41</v>
      </c>
      <c r="B90">
        <v>1024</v>
      </c>
    </row>
    <row r="91" spans="1:2" x14ac:dyDescent="0.25">
      <c r="A91" t="s">
        <v>41</v>
      </c>
      <c r="B91">
        <v>1025</v>
      </c>
    </row>
    <row r="92" spans="1:2" x14ac:dyDescent="0.25">
      <c r="A92" t="s">
        <v>41</v>
      </c>
      <c r="B92">
        <v>1026</v>
      </c>
    </row>
    <row r="93" spans="1:2" x14ac:dyDescent="0.25">
      <c r="A93" t="s">
        <v>41</v>
      </c>
      <c r="B93">
        <v>1026</v>
      </c>
    </row>
    <row r="94" spans="1:2" x14ac:dyDescent="0.25">
      <c r="A94" t="s">
        <v>41</v>
      </c>
      <c r="B94">
        <v>1029</v>
      </c>
    </row>
    <row r="95" spans="1:2" x14ac:dyDescent="0.25">
      <c r="A95" t="s">
        <v>41</v>
      </c>
      <c r="B95">
        <v>1031</v>
      </c>
    </row>
    <row r="96" spans="1:2" x14ac:dyDescent="0.25">
      <c r="A96" t="s">
        <v>41</v>
      </c>
      <c r="B96">
        <v>1032</v>
      </c>
    </row>
    <row r="97" spans="1:3" x14ac:dyDescent="0.25">
      <c r="A97" t="s">
        <v>41</v>
      </c>
      <c r="B97">
        <v>1035</v>
      </c>
    </row>
    <row r="98" spans="1:3" x14ac:dyDescent="0.25">
      <c r="A98" t="s">
        <v>41</v>
      </c>
      <c r="B98">
        <v>1040</v>
      </c>
    </row>
    <row r="99" spans="1:3" x14ac:dyDescent="0.25">
      <c r="A99" t="s">
        <v>41</v>
      </c>
      <c r="B99">
        <v>1045</v>
      </c>
    </row>
    <row r="100" spans="1:3" x14ac:dyDescent="0.25">
      <c r="A100" t="s">
        <v>41</v>
      </c>
      <c r="B100">
        <v>1049</v>
      </c>
    </row>
    <row r="101" spans="1:3" x14ac:dyDescent="0.25">
      <c r="A101" t="s">
        <v>41</v>
      </c>
      <c r="B101">
        <v>1054</v>
      </c>
    </row>
    <row r="102" spans="1:3" x14ac:dyDescent="0.25">
      <c r="A102" t="s">
        <v>41</v>
      </c>
      <c r="B102">
        <v>1056</v>
      </c>
    </row>
    <row r="103" spans="1:3" x14ac:dyDescent="0.25">
      <c r="A103" t="s">
        <v>41</v>
      </c>
      <c r="B103">
        <v>1066</v>
      </c>
    </row>
    <row r="110" spans="1:3" x14ac:dyDescent="0.25">
      <c r="C110" s="39" t="s">
        <v>100</v>
      </c>
    </row>
  </sheetData>
  <sortState xmlns:xlrd2="http://schemas.microsoft.com/office/spreadsheetml/2017/richdata2" ref="B1:B104">
    <sortCondition ref="B1:B104"/>
  </sortState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6DD0-8CE9-4B9D-A092-D01705EF145D}">
  <dimension ref="A3:C25"/>
  <sheetViews>
    <sheetView workbookViewId="0">
      <selection activeCell="C27" sqref="C27"/>
    </sheetView>
  </sheetViews>
  <sheetFormatPr baseColWidth="10" defaultRowHeight="15" x14ac:dyDescent="0.25"/>
  <cols>
    <col min="1" max="1" width="23.28515625" bestFit="1" customWidth="1"/>
    <col min="2" max="2" width="39" bestFit="1" customWidth="1"/>
    <col min="3" max="3" width="39.5703125" bestFit="1" customWidth="1"/>
  </cols>
  <sheetData>
    <row r="3" spans="1:3" x14ac:dyDescent="0.25">
      <c r="A3" s="38" t="s">
        <v>42</v>
      </c>
      <c r="B3" s="38" t="s">
        <v>43</v>
      </c>
      <c r="C3" s="38" t="s">
        <v>86</v>
      </c>
    </row>
    <row r="4" spans="1:3" x14ac:dyDescent="0.25">
      <c r="A4" s="38" t="s">
        <v>44</v>
      </c>
      <c r="B4" s="38" t="s">
        <v>45</v>
      </c>
      <c r="C4" s="38" t="s">
        <v>87</v>
      </c>
    </row>
    <row r="5" spans="1:3" x14ac:dyDescent="0.25">
      <c r="A5" s="38" t="s">
        <v>46</v>
      </c>
      <c r="B5" s="38" t="s">
        <v>47</v>
      </c>
      <c r="C5" s="38" t="s">
        <v>88</v>
      </c>
    </row>
    <row r="6" spans="1:3" x14ac:dyDescent="0.25">
      <c r="A6" s="38" t="s">
        <v>48</v>
      </c>
      <c r="B6" s="38"/>
      <c r="C6" s="38" t="s">
        <v>89</v>
      </c>
    </row>
    <row r="7" spans="1:3" x14ac:dyDescent="0.25">
      <c r="A7" s="38" t="s">
        <v>49</v>
      </c>
      <c r="B7" s="38" t="s">
        <v>50</v>
      </c>
      <c r="C7" s="38" t="s">
        <v>90</v>
      </c>
    </row>
    <row r="8" spans="1:3" x14ac:dyDescent="0.25">
      <c r="A8" s="38" t="s">
        <v>51</v>
      </c>
      <c r="B8" s="38" t="s">
        <v>52</v>
      </c>
      <c r="C8" s="38" t="s">
        <v>91</v>
      </c>
    </row>
    <row r="9" spans="1:3" x14ac:dyDescent="0.25">
      <c r="A9" s="38" t="s">
        <v>53</v>
      </c>
      <c r="B9" s="38" t="s">
        <v>54</v>
      </c>
      <c r="C9" s="38" t="s">
        <v>87</v>
      </c>
    </row>
    <row r="10" spans="1:3" x14ac:dyDescent="0.25">
      <c r="A10" s="38" t="s">
        <v>55</v>
      </c>
      <c r="B10" s="38" t="s">
        <v>56</v>
      </c>
      <c r="C10" s="38" t="s">
        <v>57</v>
      </c>
    </row>
    <row r="11" spans="1:3" x14ac:dyDescent="0.25">
      <c r="A11" s="38" t="s">
        <v>58</v>
      </c>
      <c r="B11" s="38" t="s">
        <v>59</v>
      </c>
      <c r="C11" s="38" t="s">
        <v>92</v>
      </c>
    </row>
    <row r="12" spans="1:3" x14ac:dyDescent="0.25">
      <c r="A12" s="38" t="s">
        <v>60</v>
      </c>
      <c r="B12" s="38" t="s">
        <v>43</v>
      </c>
      <c r="C12" s="38" t="s">
        <v>86</v>
      </c>
    </row>
    <row r="13" spans="1:3" x14ac:dyDescent="0.25">
      <c r="A13" s="38" t="s">
        <v>61</v>
      </c>
      <c r="B13" s="38" t="s">
        <v>62</v>
      </c>
      <c r="C13" s="38" t="s">
        <v>89</v>
      </c>
    </row>
    <row r="14" spans="1:3" x14ac:dyDescent="0.25">
      <c r="A14" s="38" t="s">
        <v>63</v>
      </c>
      <c r="B14" s="38" t="s">
        <v>64</v>
      </c>
      <c r="C14" s="38" t="s">
        <v>93</v>
      </c>
    </row>
    <row r="15" spans="1:3" x14ac:dyDescent="0.25">
      <c r="A15" s="38" t="s">
        <v>65</v>
      </c>
      <c r="B15" s="38" t="s">
        <v>59</v>
      </c>
      <c r="C15" s="38" t="s">
        <v>94</v>
      </c>
    </row>
    <row r="16" spans="1:3" x14ac:dyDescent="0.25">
      <c r="A16" s="38" t="s">
        <v>66</v>
      </c>
      <c r="B16" s="38" t="s">
        <v>67</v>
      </c>
      <c r="C16" s="38" t="s">
        <v>79</v>
      </c>
    </row>
    <row r="17" spans="1:3" x14ac:dyDescent="0.25">
      <c r="A17" s="38" t="s">
        <v>68</v>
      </c>
      <c r="B17" s="38" t="s">
        <v>69</v>
      </c>
      <c r="C17" s="38" t="s">
        <v>95</v>
      </c>
    </row>
    <row r="18" spans="1:3" x14ac:dyDescent="0.25">
      <c r="A18" s="38" t="s">
        <v>70</v>
      </c>
      <c r="B18" s="38" t="s">
        <v>71</v>
      </c>
      <c r="C18" s="38" t="s">
        <v>96</v>
      </c>
    </row>
    <row r="19" spans="1:3" x14ac:dyDescent="0.25">
      <c r="A19" s="38" t="s">
        <v>72</v>
      </c>
      <c r="B19" s="38" t="s">
        <v>73</v>
      </c>
      <c r="C19" s="38" t="s">
        <v>97</v>
      </c>
    </row>
    <row r="20" spans="1:3" x14ac:dyDescent="0.25">
      <c r="A20" s="38" t="s">
        <v>74</v>
      </c>
      <c r="B20" s="38" t="s">
        <v>75</v>
      </c>
      <c r="C20" s="38" t="s">
        <v>96</v>
      </c>
    </row>
    <row r="21" spans="1:3" x14ac:dyDescent="0.25">
      <c r="A21" s="38" t="s">
        <v>76</v>
      </c>
      <c r="B21" s="38"/>
      <c r="C21" s="38" t="s">
        <v>98</v>
      </c>
    </row>
    <row r="22" spans="1:3" x14ac:dyDescent="0.25">
      <c r="A22" s="38" t="s">
        <v>77</v>
      </c>
      <c r="B22" s="38" t="s">
        <v>78</v>
      </c>
      <c r="C22" s="38" t="s">
        <v>79</v>
      </c>
    </row>
    <row r="23" spans="1:3" x14ac:dyDescent="0.25">
      <c r="A23" s="38" t="s">
        <v>80</v>
      </c>
      <c r="B23" s="38" t="s">
        <v>81</v>
      </c>
      <c r="C23" s="38" t="s">
        <v>99</v>
      </c>
    </row>
    <row r="24" spans="1:3" x14ac:dyDescent="0.25">
      <c r="A24" s="38" t="s">
        <v>82</v>
      </c>
      <c r="B24" s="38" t="s">
        <v>83</v>
      </c>
      <c r="C24" s="38" t="s">
        <v>79</v>
      </c>
    </row>
    <row r="25" spans="1:3" x14ac:dyDescent="0.25">
      <c r="A25" s="38" t="s">
        <v>84</v>
      </c>
      <c r="B25" s="38" t="s">
        <v>85</v>
      </c>
      <c r="C25" s="3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F982-66C6-4938-9BB3-778A53A290F7}">
  <dimension ref="A1:F83"/>
  <sheetViews>
    <sheetView view="pageBreakPreview" zoomScale="130" zoomScaleNormal="100" zoomScaleSheetLayoutView="130" workbookViewId="0">
      <selection activeCell="A58" sqref="A58:D59"/>
    </sheetView>
  </sheetViews>
  <sheetFormatPr baseColWidth="10" defaultRowHeight="15" x14ac:dyDescent="0.25"/>
  <cols>
    <col min="1" max="1" width="29" customWidth="1"/>
    <col min="2" max="2" width="12.28515625" customWidth="1"/>
    <col min="3" max="3" width="34.28515625" customWidth="1"/>
    <col min="4" max="4" width="16.5703125" customWidth="1"/>
    <col min="5" max="5" width="7.42578125" customWidth="1"/>
  </cols>
  <sheetData>
    <row r="1" spans="1:5" x14ac:dyDescent="0.25">
      <c r="A1" s="28" t="s">
        <v>39</v>
      </c>
      <c r="B1" s="29"/>
      <c r="C1" s="78" t="e" vm="1">
        <v>#VALUE!</v>
      </c>
      <c r="D1" s="78"/>
      <c r="E1" s="78"/>
    </row>
    <row r="2" spans="1:5" x14ac:dyDescent="0.25">
      <c r="A2" s="7" t="s">
        <v>40</v>
      </c>
      <c r="B2" s="8"/>
      <c r="C2" s="79"/>
      <c r="D2" s="79"/>
      <c r="E2" s="79"/>
    </row>
    <row r="3" spans="1:5" x14ac:dyDescent="0.25">
      <c r="A3" s="7" t="s">
        <v>36</v>
      </c>
      <c r="B3" s="8"/>
      <c r="C3" s="79"/>
      <c r="D3" s="79"/>
      <c r="E3" s="79"/>
    </row>
    <row r="4" spans="1:5" ht="15.75" thickBot="1" x14ac:dyDescent="0.3">
      <c r="A4" s="10"/>
      <c r="C4" s="21" t="s">
        <v>5</v>
      </c>
      <c r="E4" s="9"/>
    </row>
    <row r="5" spans="1:5" ht="26.25" thickBot="1" x14ac:dyDescent="0.3">
      <c r="A5" s="22" t="s">
        <v>18</v>
      </c>
      <c r="B5" s="8"/>
      <c r="E5" s="9"/>
    </row>
    <row r="6" spans="1:5" x14ac:dyDescent="0.25">
      <c r="A6" s="10"/>
      <c r="E6" s="9"/>
    </row>
    <row r="7" spans="1:5" ht="17.25" thickBot="1" x14ac:dyDescent="0.3">
      <c r="A7" s="20" t="s">
        <v>22</v>
      </c>
      <c r="B7" s="80">
        <v>1481</v>
      </c>
      <c r="C7" s="80"/>
      <c r="E7" s="9"/>
    </row>
    <row r="8" spans="1:5" ht="15.75" x14ac:dyDescent="0.25">
      <c r="A8" s="11"/>
      <c r="B8" s="37"/>
      <c r="E8" s="9"/>
    </row>
    <row r="9" spans="1:5" ht="18" customHeight="1" thickBot="1" x14ac:dyDescent="0.3">
      <c r="A9" s="20" t="s">
        <v>27</v>
      </c>
      <c r="B9" s="81">
        <v>0.4861111111111111</v>
      </c>
      <c r="C9" s="81"/>
      <c r="E9" s="9"/>
    </row>
    <row r="10" spans="1:5" ht="18" customHeight="1" x14ac:dyDescent="0.25">
      <c r="A10" s="20"/>
      <c r="B10" s="40"/>
      <c r="C10" s="25"/>
      <c r="E10" s="9"/>
    </row>
    <row r="11" spans="1:5" ht="18" customHeight="1" thickBot="1" x14ac:dyDescent="0.3">
      <c r="A11" s="20" t="s">
        <v>21</v>
      </c>
      <c r="B11" s="83">
        <v>45841</v>
      </c>
      <c r="C11" s="83"/>
      <c r="E11" s="9"/>
    </row>
    <row r="12" spans="1:5" ht="18.75" thickBot="1" x14ac:dyDescent="0.3">
      <c r="A12" s="12"/>
      <c r="B12" s="24"/>
      <c r="C12" s="26"/>
      <c r="D12" s="4"/>
      <c r="E12" s="13"/>
    </row>
    <row r="13" spans="1:5" ht="26.25" thickBot="1" x14ac:dyDescent="0.3">
      <c r="A13" s="22" t="s">
        <v>17</v>
      </c>
      <c r="B13" s="76"/>
      <c r="C13" s="76"/>
      <c r="D13" s="32"/>
      <c r="E13" s="33"/>
    </row>
    <row r="14" spans="1:5" x14ac:dyDescent="0.25">
      <c r="A14" s="14"/>
      <c r="E14" s="9"/>
    </row>
    <row r="15" spans="1:5" x14ac:dyDescent="0.25">
      <c r="A15" s="18" t="s">
        <v>6</v>
      </c>
      <c r="E15" s="9"/>
    </row>
    <row r="16" spans="1:5" x14ac:dyDescent="0.25">
      <c r="A16" s="14"/>
      <c r="E16" s="9"/>
    </row>
    <row r="17" spans="1:5" ht="15.75" thickBot="1" x14ac:dyDescent="0.3">
      <c r="A17" s="15" t="s">
        <v>3</v>
      </c>
      <c r="B17" s="71" t="s">
        <v>107</v>
      </c>
      <c r="C17" s="71"/>
      <c r="E17" s="9"/>
    </row>
    <row r="18" spans="1:5" x14ac:dyDescent="0.25">
      <c r="A18" s="14"/>
      <c r="E18" s="9"/>
    </row>
    <row r="19" spans="1:5" ht="15.75" thickBot="1" x14ac:dyDescent="0.3">
      <c r="A19" s="15" t="s">
        <v>4</v>
      </c>
      <c r="B19" s="77" t="s">
        <v>108</v>
      </c>
      <c r="C19" s="77"/>
      <c r="E19" s="9"/>
    </row>
    <row r="20" spans="1:5" x14ac:dyDescent="0.25">
      <c r="A20" s="14"/>
      <c r="E20" s="9"/>
    </row>
    <row r="21" spans="1:5" ht="15.75" thickBot="1" x14ac:dyDescent="0.3">
      <c r="A21" s="15" t="s">
        <v>26</v>
      </c>
      <c r="B21" s="77"/>
      <c r="C21" s="77"/>
      <c r="E21" s="9"/>
    </row>
    <row r="22" spans="1:5" x14ac:dyDescent="0.25">
      <c r="A22" s="14"/>
      <c r="B22" s="37"/>
      <c r="E22" s="9"/>
    </row>
    <row r="23" spans="1:5" ht="15.75" thickBot="1" x14ac:dyDescent="0.3">
      <c r="A23" s="15" t="s">
        <v>23</v>
      </c>
      <c r="B23" s="77"/>
      <c r="C23" s="77"/>
      <c r="E23" s="9"/>
    </row>
    <row r="24" spans="1:5" ht="15.75" thickBot="1" x14ac:dyDescent="0.3">
      <c r="A24" s="12"/>
      <c r="B24" s="4"/>
      <c r="C24" s="4"/>
      <c r="D24" s="4"/>
      <c r="E24" s="13"/>
    </row>
    <row r="25" spans="1:5" ht="26.25" thickBot="1" x14ac:dyDescent="0.3">
      <c r="A25" s="22" t="s">
        <v>19</v>
      </c>
      <c r="B25" s="1"/>
      <c r="C25" s="1"/>
      <c r="D25" s="1"/>
      <c r="E25" s="9"/>
    </row>
    <row r="26" spans="1:5" x14ac:dyDescent="0.25">
      <c r="A26" s="16"/>
      <c r="B26" s="1"/>
      <c r="C26" s="1"/>
      <c r="D26" s="1"/>
      <c r="E26" s="9"/>
    </row>
    <row r="27" spans="1:5" x14ac:dyDescent="0.25">
      <c r="A27" s="18" t="s">
        <v>7</v>
      </c>
      <c r="B27" s="17"/>
      <c r="E27" s="9"/>
    </row>
    <row r="28" spans="1:5" x14ac:dyDescent="0.25">
      <c r="A28" s="14"/>
      <c r="E28" s="9"/>
    </row>
    <row r="29" spans="1:5" ht="15.75" thickBot="1" x14ac:dyDescent="0.3">
      <c r="A29" s="15" t="s">
        <v>11</v>
      </c>
      <c r="B29" s="47"/>
      <c r="C29" s="21" t="s">
        <v>12</v>
      </c>
      <c r="D29" s="52">
        <f>D74</f>
        <v>0</v>
      </c>
      <c r="E29" s="9"/>
    </row>
    <row r="30" spans="1:5" x14ac:dyDescent="0.25">
      <c r="A30" s="14"/>
      <c r="E30" s="9"/>
    </row>
    <row r="31" spans="1:5" x14ac:dyDescent="0.25">
      <c r="A31" s="15" t="s">
        <v>8</v>
      </c>
      <c r="B31" s="2"/>
      <c r="E31" s="9"/>
    </row>
    <row r="32" spans="1:5" x14ac:dyDescent="0.25">
      <c r="A32" s="14"/>
      <c r="E32" s="9"/>
    </row>
    <row r="33" spans="1:6" ht="15.75" thickBot="1" x14ac:dyDescent="0.3">
      <c r="A33" s="18" t="s">
        <v>9</v>
      </c>
      <c r="B33" s="71"/>
      <c r="C33" s="71"/>
      <c r="E33" s="9"/>
    </row>
    <row r="34" spans="1:6" x14ac:dyDescent="0.25">
      <c r="A34" s="18"/>
      <c r="E34" s="9"/>
    </row>
    <row r="35" spans="1:6" ht="15.75" thickBot="1" x14ac:dyDescent="0.3">
      <c r="A35" s="15" t="s">
        <v>29</v>
      </c>
      <c r="B35" s="71"/>
      <c r="C35" s="71"/>
      <c r="E35" s="9"/>
    </row>
    <row r="36" spans="1:6" x14ac:dyDescent="0.25">
      <c r="A36" s="18"/>
      <c r="E36" s="9"/>
    </row>
    <row r="37" spans="1:6" ht="15.75" thickBot="1" x14ac:dyDescent="0.3">
      <c r="A37" s="23" t="s">
        <v>15</v>
      </c>
      <c r="B37" s="71"/>
      <c r="C37" s="71"/>
      <c r="E37" s="9"/>
    </row>
    <row r="38" spans="1:6" ht="15.75" thickBot="1" x14ac:dyDescent="0.3">
      <c r="A38" s="14"/>
      <c r="E38" s="9"/>
    </row>
    <row r="39" spans="1:6" ht="26.25" thickBot="1" x14ac:dyDescent="0.3">
      <c r="A39" s="48" t="s">
        <v>18</v>
      </c>
      <c r="B39" s="5"/>
      <c r="C39" s="6"/>
      <c r="D39" s="5"/>
      <c r="E39" s="6"/>
    </row>
    <row r="40" spans="1:6" ht="15.75" thickBot="1" x14ac:dyDescent="0.3">
      <c r="A40" s="14"/>
      <c r="C40" s="9"/>
      <c r="E40" s="9"/>
    </row>
    <row r="41" spans="1:6" x14ac:dyDescent="0.25">
      <c r="A41" s="15" t="s">
        <v>10</v>
      </c>
      <c r="B41" s="17"/>
      <c r="C41" s="9"/>
      <c r="D41" s="84" t="s">
        <v>104</v>
      </c>
      <c r="E41" s="27"/>
    </row>
    <row r="42" spans="1:6" x14ac:dyDescent="0.25">
      <c r="A42" s="15"/>
      <c r="B42" s="17"/>
      <c r="C42" s="9"/>
      <c r="D42" s="85"/>
      <c r="E42" s="27"/>
    </row>
    <row r="43" spans="1:6" x14ac:dyDescent="0.25">
      <c r="A43" s="15" t="s">
        <v>32</v>
      </c>
      <c r="C43" s="9"/>
      <c r="D43" s="85"/>
      <c r="E43" s="9"/>
    </row>
    <row r="44" spans="1:6" x14ac:dyDescent="0.25">
      <c r="A44" s="15"/>
      <c r="C44" s="9"/>
      <c r="D44" s="85"/>
      <c r="E44" s="27"/>
    </row>
    <row r="45" spans="1:6" x14ac:dyDescent="0.25">
      <c r="A45" s="18" t="s">
        <v>14</v>
      </c>
      <c r="B45" s="49"/>
      <c r="C45" s="9"/>
      <c r="D45" s="85"/>
      <c r="E45" s="9"/>
    </row>
    <row r="46" spans="1:6" x14ac:dyDescent="0.25">
      <c r="A46" s="14"/>
      <c r="B46" s="49"/>
      <c r="C46" s="9"/>
      <c r="D46" s="85"/>
      <c r="E46" s="27"/>
    </row>
    <row r="47" spans="1:6" ht="15.75" thickBot="1" x14ac:dyDescent="0.3">
      <c r="A47" s="15" t="s">
        <v>25</v>
      </c>
      <c r="B47" s="87"/>
      <c r="C47" s="88"/>
      <c r="D47" s="85"/>
      <c r="E47" s="27"/>
      <c r="F47" s="1"/>
    </row>
    <row r="48" spans="1:6" x14ac:dyDescent="0.25">
      <c r="A48" s="15"/>
      <c r="C48" s="9"/>
      <c r="D48" s="85"/>
      <c r="E48" s="9"/>
    </row>
    <row r="49" spans="1:5" ht="20.25" customHeight="1" thickBot="1" x14ac:dyDescent="0.3">
      <c r="A49" s="15" t="s">
        <v>24</v>
      </c>
      <c r="B49" s="71"/>
      <c r="C49" s="89"/>
      <c r="D49" s="85"/>
      <c r="E49" s="27"/>
    </row>
    <row r="50" spans="1:5" x14ac:dyDescent="0.25">
      <c r="A50" s="14"/>
      <c r="B50" s="49"/>
      <c r="C50" s="9"/>
      <c r="D50" s="85"/>
      <c r="E50" s="9"/>
    </row>
    <row r="51" spans="1:5" ht="15.75" thickBot="1" x14ac:dyDescent="0.3">
      <c r="A51" s="23"/>
      <c r="B51" s="49"/>
      <c r="C51" s="9"/>
      <c r="D51" s="86"/>
      <c r="E51" s="9"/>
    </row>
    <row r="52" spans="1:5" ht="15.75" thickBot="1" x14ac:dyDescent="0.3">
      <c r="A52" s="23" t="s">
        <v>15</v>
      </c>
      <c r="B52" s="74"/>
      <c r="C52" s="75"/>
      <c r="E52" s="9"/>
    </row>
    <row r="53" spans="1:5" ht="15.75" thickBot="1" x14ac:dyDescent="0.3">
      <c r="A53" s="12"/>
      <c r="B53" s="4"/>
      <c r="C53" s="13"/>
      <c r="D53" s="4"/>
      <c r="E53" s="13"/>
    </row>
    <row r="56" spans="1:5" ht="15" customHeight="1" x14ac:dyDescent="0.25">
      <c r="A56" s="90" t="s">
        <v>101</v>
      </c>
      <c r="B56" s="90" t="s">
        <v>102</v>
      </c>
      <c r="C56" s="90" t="s">
        <v>105</v>
      </c>
      <c r="D56" s="90" t="s">
        <v>38</v>
      </c>
      <c r="E56" s="90" t="s">
        <v>103</v>
      </c>
    </row>
    <row r="57" spans="1:5" x14ac:dyDescent="0.25">
      <c r="A57" s="91"/>
      <c r="B57" s="91"/>
      <c r="C57" s="91"/>
      <c r="D57" s="91"/>
      <c r="E57" s="91"/>
    </row>
    <row r="58" spans="1:5" ht="22.5" customHeight="1" x14ac:dyDescent="0.25">
      <c r="A58" s="55"/>
      <c r="B58" s="46"/>
      <c r="C58" s="53"/>
      <c r="D58" s="53"/>
      <c r="E58" s="45"/>
    </row>
    <row r="59" spans="1:5" ht="22.5" customHeight="1" x14ac:dyDescent="0.25">
      <c r="A59" s="56"/>
      <c r="B59" s="46"/>
      <c r="C59" s="54"/>
      <c r="D59" s="54"/>
      <c r="E59" s="45"/>
    </row>
    <row r="60" spans="1:5" ht="22.5" customHeight="1" x14ac:dyDescent="0.25">
      <c r="A60" s="56"/>
      <c r="B60" s="46"/>
      <c r="C60" s="54"/>
      <c r="D60" s="54"/>
      <c r="E60" s="50"/>
    </row>
    <row r="61" spans="1:5" ht="22.5" customHeight="1" x14ac:dyDescent="0.25">
      <c r="A61" s="56"/>
      <c r="B61" s="46"/>
      <c r="C61" s="54"/>
      <c r="D61" s="54"/>
      <c r="E61" s="45"/>
    </row>
    <row r="62" spans="1:5" ht="22.5" customHeight="1" x14ac:dyDescent="0.25">
      <c r="A62" s="56"/>
      <c r="B62" s="46"/>
      <c r="C62" s="54"/>
      <c r="D62" s="54"/>
      <c r="E62" s="45"/>
    </row>
    <row r="63" spans="1:5" ht="22.5" customHeight="1" x14ac:dyDescent="0.25">
      <c r="A63" s="56"/>
      <c r="B63" s="46"/>
      <c r="C63" s="54"/>
      <c r="D63" s="54"/>
      <c r="E63" s="45"/>
    </row>
    <row r="64" spans="1:5" ht="22.5" customHeight="1" x14ac:dyDescent="0.25">
      <c r="A64" s="56"/>
      <c r="B64" s="46"/>
      <c r="C64" s="54"/>
      <c r="D64" s="54"/>
      <c r="E64" s="45"/>
    </row>
    <row r="65" spans="1:5" ht="22.5" customHeight="1" x14ac:dyDescent="0.25">
      <c r="A65" s="56"/>
      <c r="B65" s="46"/>
      <c r="C65" s="54"/>
      <c r="D65" s="54"/>
      <c r="E65" s="45"/>
    </row>
    <row r="66" spans="1:5" ht="22.5" customHeight="1" x14ac:dyDescent="0.25">
      <c r="A66" s="56"/>
      <c r="B66" s="46"/>
      <c r="C66" s="54"/>
      <c r="D66" s="54"/>
      <c r="E66" s="45"/>
    </row>
    <row r="67" spans="1:5" ht="22.5" customHeight="1" x14ac:dyDescent="0.25">
      <c r="A67" s="56"/>
      <c r="B67" s="46"/>
      <c r="C67" s="54"/>
      <c r="D67" s="54"/>
      <c r="E67" s="45"/>
    </row>
    <row r="68" spans="1:5" ht="22.5" customHeight="1" x14ac:dyDescent="0.25">
      <c r="A68" s="56"/>
      <c r="B68" s="46"/>
      <c r="C68" s="54"/>
      <c r="D68" s="54"/>
      <c r="E68" s="45"/>
    </row>
    <row r="69" spans="1:5" ht="22.5" customHeight="1" x14ac:dyDescent="0.25">
      <c r="A69" s="56"/>
      <c r="B69" s="46"/>
      <c r="C69" s="54"/>
      <c r="D69" s="54"/>
      <c r="E69" s="45"/>
    </row>
    <row r="70" spans="1:5" ht="22.5" customHeight="1" x14ac:dyDescent="0.25">
      <c r="A70" s="56"/>
      <c r="B70" s="46"/>
      <c r="C70" s="54"/>
      <c r="D70" s="54"/>
      <c r="E70" s="45"/>
    </row>
    <row r="71" spans="1:5" ht="22.5" customHeight="1" x14ac:dyDescent="0.25">
      <c r="A71" s="56"/>
      <c r="B71" s="46"/>
      <c r="C71" s="54"/>
      <c r="D71" s="54"/>
      <c r="E71" s="45"/>
    </row>
    <row r="72" spans="1:5" ht="22.5" customHeight="1" x14ac:dyDescent="0.25">
      <c r="A72" s="56"/>
      <c r="B72" s="46"/>
      <c r="C72" s="54"/>
      <c r="D72" s="54"/>
      <c r="E72" s="45"/>
    </row>
    <row r="73" spans="1:5" ht="22.5" customHeight="1" x14ac:dyDescent="0.25">
      <c r="A73" s="56"/>
      <c r="B73" s="46"/>
      <c r="C73" s="54"/>
      <c r="D73" s="54"/>
      <c r="E73" s="45"/>
    </row>
    <row r="74" spans="1:5" ht="22.5" customHeight="1" thickBot="1" x14ac:dyDescent="0.3">
      <c r="A74" s="41" t="s">
        <v>37</v>
      </c>
      <c r="B74" s="42"/>
      <c r="C74" s="42"/>
      <c r="D74" s="36">
        <f>SUM(D58:D73)</f>
        <v>0</v>
      </c>
      <c r="E74" s="43"/>
    </row>
    <row r="78" spans="1:5" ht="15" customHeight="1" x14ac:dyDescent="0.25"/>
    <row r="79" spans="1:5" ht="15" customHeight="1" x14ac:dyDescent="0.25"/>
    <row r="80" spans="1:5" ht="15" customHeight="1" x14ac:dyDescent="0.25"/>
    <row r="81" ht="15" customHeight="1" x14ac:dyDescent="0.25"/>
    <row r="82" ht="15" customHeight="1" x14ac:dyDescent="0.25"/>
    <row r="83" ht="15" customHeight="1" x14ac:dyDescent="0.25"/>
  </sheetData>
  <mergeCells count="21">
    <mergeCell ref="E56:E57"/>
    <mergeCell ref="D41:D51"/>
    <mergeCell ref="B47:C47"/>
    <mergeCell ref="B49:C49"/>
    <mergeCell ref="B52:C52"/>
    <mergeCell ref="A56:A57"/>
    <mergeCell ref="B56:B57"/>
    <mergeCell ref="C56:C57"/>
    <mergeCell ref="D56:D57"/>
    <mergeCell ref="B19:C19"/>
    <mergeCell ref="B21:C21"/>
    <mergeCell ref="B23:C23"/>
    <mergeCell ref="B33:C33"/>
    <mergeCell ref="B35:C35"/>
    <mergeCell ref="B37:C37"/>
    <mergeCell ref="B17:C17"/>
    <mergeCell ref="C1:E3"/>
    <mergeCell ref="B7:C7"/>
    <mergeCell ref="B9:C9"/>
    <mergeCell ref="B11:C11"/>
    <mergeCell ref="B13:C13"/>
  </mergeCells>
  <phoneticPr fontId="15" type="noConversion"/>
  <conditionalFormatting sqref="A58:D73">
    <cfRule type="containsText" dxfId="0" priority="1" operator="containsText" text="erledigt">
      <formula>NOT(ISERROR(SEARCH("erledigt",A58)))</formula>
    </cfRule>
  </conditionalFormatting>
  <pageMargins left="0.59055118110236227" right="0.59055118110236227" top="0.39370078740157483" bottom="0" header="0.31496062992125984" footer="0.31496062992125984"/>
  <pageSetup paperSize="9" scale="89" orientation="portrait" r:id="rId1"/>
  <rowBreaks count="1" manualBreakCount="1">
    <brk id="53" max="4" man="1"/>
  </rowBreaks>
  <colBreaks count="1" manualBreakCount="1">
    <brk id="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2</xdr:col>
                    <xdr:colOff>2247900</xdr:colOff>
                    <xdr:row>3</xdr:row>
                    <xdr:rowOff>0</xdr:rowOff>
                  </from>
                  <to>
                    <xdr:col>3</xdr:col>
                    <xdr:colOff>828675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1</xdr:col>
                    <xdr:colOff>2238375</xdr:colOff>
                    <xdr:row>30</xdr:row>
                    <xdr:rowOff>0</xdr:rowOff>
                  </from>
                  <to>
                    <xdr:col>2</xdr:col>
                    <xdr:colOff>9525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1</xdr:col>
                    <xdr:colOff>723900</xdr:colOff>
                    <xdr:row>30</xdr:row>
                    <xdr:rowOff>0</xdr:rowOff>
                  </from>
                  <to>
                    <xdr:col>2</xdr:col>
                    <xdr:colOff>723900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1</xdr:col>
                    <xdr:colOff>2247900</xdr:colOff>
                    <xdr:row>40</xdr:row>
                    <xdr:rowOff>0</xdr:rowOff>
                  </from>
                  <to>
                    <xdr:col>2</xdr:col>
                    <xdr:colOff>9525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1</xdr:col>
                    <xdr:colOff>381000</xdr:colOff>
                    <xdr:row>39</xdr:row>
                    <xdr:rowOff>190500</xdr:rowOff>
                  </from>
                  <to>
                    <xdr:col>2</xdr:col>
                    <xdr:colOff>381000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0</xdr:col>
                    <xdr:colOff>1924050</xdr:colOff>
                    <xdr:row>41</xdr:row>
                    <xdr:rowOff>171450</xdr:rowOff>
                  </from>
                  <to>
                    <xdr:col>2</xdr:col>
                    <xdr:colOff>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1</xdr:col>
                    <xdr:colOff>400050</xdr:colOff>
                    <xdr:row>41</xdr:row>
                    <xdr:rowOff>171450</xdr:rowOff>
                  </from>
                  <to>
                    <xdr:col>2</xdr:col>
                    <xdr:colOff>400050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2</xdr:col>
                    <xdr:colOff>2247900</xdr:colOff>
                    <xdr:row>9</xdr:row>
                    <xdr:rowOff>28575</xdr:rowOff>
                  </from>
                  <to>
                    <xdr:col>3</xdr:col>
                    <xdr:colOff>800100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2</xdr:col>
                    <xdr:colOff>2247900</xdr:colOff>
                    <xdr:row>5</xdr:row>
                    <xdr:rowOff>142875</xdr:rowOff>
                  </from>
                  <to>
                    <xdr:col>3</xdr:col>
                    <xdr:colOff>790575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2</xdr:col>
                    <xdr:colOff>2247900</xdr:colOff>
                    <xdr:row>6</xdr:row>
                    <xdr:rowOff>142875</xdr:rowOff>
                  </from>
                  <to>
                    <xdr:col>3</xdr:col>
                    <xdr:colOff>866775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2</xdr:col>
                    <xdr:colOff>2247900</xdr:colOff>
                    <xdr:row>8</xdr:row>
                    <xdr:rowOff>76200</xdr:rowOff>
                  </from>
                  <to>
                    <xdr:col>3</xdr:col>
                    <xdr:colOff>771525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2</xdr:col>
                    <xdr:colOff>2247900</xdr:colOff>
                    <xdr:row>7</xdr:row>
                    <xdr:rowOff>104775</xdr:rowOff>
                  </from>
                  <to>
                    <xdr:col>3</xdr:col>
                    <xdr:colOff>781050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2</xdr:col>
                    <xdr:colOff>2247900</xdr:colOff>
                    <xdr:row>9</xdr:row>
                    <xdr:rowOff>228600</xdr:rowOff>
                  </from>
                  <to>
                    <xdr:col>3</xdr:col>
                    <xdr:colOff>790575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2</xdr:col>
                    <xdr:colOff>2247900</xdr:colOff>
                    <xdr:row>4</xdr:row>
                    <xdr:rowOff>114300</xdr:rowOff>
                  </from>
                  <to>
                    <xdr:col>3</xdr:col>
                    <xdr:colOff>857250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2</xdr:col>
                    <xdr:colOff>2247900</xdr:colOff>
                    <xdr:row>4</xdr:row>
                    <xdr:rowOff>276225</xdr:rowOff>
                  </from>
                  <to>
                    <xdr:col>3</xdr:col>
                    <xdr:colOff>857250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2</xdr:col>
                    <xdr:colOff>2247900</xdr:colOff>
                    <xdr:row>3</xdr:row>
                    <xdr:rowOff>142875</xdr:rowOff>
                  </from>
                  <to>
                    <xdr:col>4</xdr:col>
                    <xdr:colOff>276225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1</xdr:col>
                    <xdr:colOff>9525</xdr:colOff>
                    <xdr:row>39</xdr:row>
                    <xdr:rowOff>190500</xdr:rowOff>
                  </from>
                  <to>
                    <xdr:col>2</xdr:col>
                    <xdr:colOff>19050</xdr:colOff>
                    <xdr:row>41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1</xdr:col>
                    <xdr:colOff>0</xdr:colOff>
                    <xdr:row>30</xdr:row>
                    <xdr:rowOff>0</xdr:rowOff>
                  </from>
                  <to>
                    <xdr:col>1</xdr:col>
                    <xdr:colOff>647700</xdr:colOff>
                    <xdr:row>31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FAC0-15B0-4436-8716-AF3A04B8BD2F}">
  <dimension ref="A1:H53"/>
  <sheetViews>
    <sheetView view="pageBreakPreview" zoomScale="130" zoomScaleNormal="100" zoomScaleSheetLayoutView="130" workbookViewId="0">
      <selection activeCell="K17" sqref="K17"/>
    </sheetView>
  </sheetViews>
  <sheetFormatPr baseColWidth="10" defaultRowHeight="15" x14ac:dyDescent="0.25"/>
  <cols>
    <col min="1" max="1" width="29" customWidth="1"/>
    <col min="2" max="2" width="8.28515625" customWidth="1"/>
    <col min="3" max="3" width="5.5703125" customWidth="1"/>
    <col min="4" max="4" width="6.85546875" customWidth="1"/>
    <col min="5" max="5" width="22.7109375" customWidth="1"/>
    <col min="6" max="6" width="10.7109375" customWidth="1"/>
    <col min="7" max="7" width="13.42578125" customWidth="1"/>
  </cols>
  <sheetData>
    <row r="1" spans="1:7" x14ac:dyDescent="0.25">
      <c r="A1" s="28" t="s">
        <v>0</v>
      </c>
      <c r="B1" s="29"/>
      <c r="C1" s="29"/>
      <c r="D1" s="5"/>
      <c r="E1" s="5"/>
      <c r="F1" s="5"/>
      <c r="G1" s="6"/>
    </row>
    <row r="2" spans="1:7" x14ac:dyDescent="0.25">
      <c r="A2" s="7" t="s">
        <v>1</v>
      </c>
      <c r="B2" s="8"/>
      <c r="C2" s="8"/>
      <c r="G2" s="9"/>
    </row>
    <row r="3" spans="1:7" x14ac:dyDescent="0.25">
      <c r="A3" s="7" t="s">
        <v>2</v>
      </c>
      <c r="B3" s="8"/>
      <c r="C3" s="8"/>
      <c r="G3" s="9"/>
    </row>
    <row r="4" spans="1:7" ht="15.75" thickBot="1" x14ac:dyDescent="0.3">
      <c r="A4" s="10"/>
      <c r="G4" s="9"/>
    </row>
    <row r="5" spans="1:7" ht="26.25" thickBot="1" x14ac:dyDescent="0.3">
      <c r="A5" s="22" t="s">
        <v>18</v>
      </c>
      <c r="B5" s="8"/>
      <c r="G5" s="9"/>
    </row>
    <row r="6" spans="1:7" x14ac:dyDescent="0.25">
      <c r="A6" s="10"/>
      <c r="E6" s="21" t="s">
        <v>5</v>
      </c>
      <c r="G6" s="9"/>
    </row>
    <row r="7" spans="1:7" ht="16.5" x14ac:dyDescent="0.25">
      <c r="A7" s="20" t="s">
        <v>22</v>
      </c>
      <c r="B7" s="92"/>
      <c r="C7" s="92"/>
      <c r="D7" s="92"/>
      <c r="G7" s="9"/>
    </row>
    <row r="8" spans="1:7" ht="15.75" x14ac:dyDescent="0.25">
      <c r="A8" s="11"/>
      <c r="G8" s="9"/>
    </row>
    <row r="9" spans="1:7" ht="18" customHeight="1" x14ac:dyDescent="0.25">
      <c r="A9" s="20" t="s">
        <v>27</v>
      </c>
      <c r="B9" s="92"/>
      <c r="C9" s="92"/>
      <c r="D9" s="92"/>
      <c r="E9" s="25"/>
      <c r="G9" s="9"/>
    </row>
    <row r="10" spans="1:7" ht="18" customHeight="1" x14ac:dyDescent="0.25">
      <c r="A10" s="20"/>
      <c r="B10" s="1"/>
      <c r="C10" s="1"/>
      <c r="E10" s="25"/>
      <c r="G10" s="9"/>
    </row>
    <row r="11" spans="1:7" ht="18" customHeight="1" x14ac:dyDescent="0.25">
      <c r="A11" s="20" t="s">
        <v>21</v>
      </c>
      <c r="B11" s="93"/>
      <c r="C11" s="92"/>
      <c r="D11" s="92"/>
      <c r="E11" s="25"/>
      <c r="G11" s="9"/>
    </row>
    <row r="12" spans="1:7" ht="18.75" thickBot="1" x14ac:dyDescent="0.3">
      <c r="A12" s="12"/>
      <c r="B12" s="24"/>
      <c r="C12" s="3"/>
      <c r="D12" s="4"/>
      <c r="E12" s="26"/>
      <c r="F12" s="4"/>
      <c r="G12" s="13"/>
    </row>
    <row r="13" spans="1:7" ht="26.25" thickBot="1" x14ac:dyDescent="0.3">
      <c r="A13" s="22" t="s">
        <v>17</v>
      </c>
      <c r="B13" s="94" t="s">
        <v>34</v>
      </c>
      <c r="C13" s="95"/>
      <c r="D13" s="95"/>
      <c r="E13" s="95"/>
      <c r="F13" s="32"/>
      <c r="G13" s="33"/>
    </row>
    <row r="14" spans="1:7" ht="15.75" thickBot="1" x14ac:dyDescent="0.3">
      <c r="A14" s="14"/>
      <c r="G14" s="9"/>
    </row>
    <row r="15" spans="1:7" ht="15.75" thickBot="1" x14ac:dyDescent="0.3">
      <c r="A15" s="18" t="s">
        <v>6</v>
      </c>
      <c r="B15" s="34" t="s">
        <v>35</v>
      </c>
      <c r="C15" s="96"/>
      <c r="D15" s="97"/>
      <c r="E15" s="97"/>
      <c r="G15" s="9"/>
    </row>
    <row r="16" spans="1:7" x14ac:dyDescent="0.25">
      <c r="A16" s="14"/>
      <c r="G16" s="9"/>
    </row>
    <row r="17" spans="1:7" x14ac:dyDescent="0.25">
      <c r="A17" s="15" t="s">
        <v>3</v>
      </c>
      <c r="B17" s="79"/>
      <c r="C17" s="79"/>
      <c r="D17" s="79"/>
      <c r="E17" s="21"/>
      <c r="G17" s="9"/>
    </row>
    <row r="18" spans="1:7" x14ac:dyDescent="0.25">
      <c r="A18" s="14"/>
      <c r="G18" s="9"/>
    </row>
    <row r="19" spans="1:7" x14ac:dyDescent="0.25">
      <c r="A19" s="15" t="s">
        <v>4</v>
      </c>
      <c r="B19" s="79"/>
      <c r="C19" s="79"/>
      <c r="D19" s="79"/>
      <c r="G19" s="9"/>
    </row>
    <row r="20" spans="1:7" x14ac:dyDescent="0.25">
      <c r="A20" s="14"/>
      <c r="G20" s="9"/>
    </row>
    <row r="21" spans="1:7" x14ac:dyDescent="0.25">
      <c r="A21" s="15" t="s">
        <v>26</v>
      </c>
      <c r="B21" s="79" t="s">
        <v>16</v>
      </c>
      <c r="C21" s="79"/>
      <c r="D21" s="79"/>
      <c r="G21" s="9"/>
    </row>
    <row r="22" spans="1:7" x14ac:dyDescent="0.25">
      <c r="A22" s="14"/>
      <c r="G22" s="9"/>
    </row>
    <row r="23" spans="1:7" x14ac:dyDescent="0.25">
      <c r="A23" s="15" t="s">
        <v>23</v>
      </c>
      <c r="B23" s="79" t="s">
        <v>16</v>
      </c>
      <c r="C23" s="79"/>
      <c r="D23" s="79"/>
      <c r="G23" s="9"/>
    </row>
    <row r="24" spans="1:7" ht="15.75" thickBot="1" x14ac:dyDescent="0.3">
      <c r="A24" s="12"/>
      <c r="B24" s="4"/>
      <c r="C24" s="4"/>
      <c r="D24" s="4"/>
      <c r="E24" s="4"/>
      <c r="F24" s="4"/>
      <c r="G24" s="13"/>
    </row>
    <row r="25" spans="1:7" ht="26.25" thickBot="1" x14ac:dyDescent="0.3">
      <c r="A25" s="22" t="s">
        <v>19</v>
      </c>
      <c r="B25" s="1"/>
      <c r="C25" s="1"/>
      <c r="D25" s="1"/>
      <c r="E25" s="1"/>
      <c r="F25" s="1"/>
      <c r="G25" s="9"/>
    </row>
    <row r="26" spans="1:7" x14ac:dyDescent="0.25">
      <c r="A26" s="16"/>
      <c r="B26" s="1"/>
      <c r="C26" s="1"/>
      <c r="D26" s="1"/>
      <c r="E26" s="1"/>
      <c r="F26" s="1"/>
      <c r="G26" s="9"/>
    </row>
    <row r="27" spans="1:7" x14ac:dyDescent="0.25">
      <c r="A27" s="18" t="s">
        <v>7</v>
      </c>
      <c r="B27" s="17"/>
      <c r="G27" s="9"/>
    </row>
    <row r="28" spans="1:7" x14ac:dyDescent="0.25">
      <c r="A28" s="14"/>
      <c r="G28" s="9"/>
    </row>
    <row r="29" spans="1:7" x14ac:dyDescent="0.25">
      <c r="A29" s="15" t="s">
        <v>11</v>
      </c>
      <c r="B29" t="s">
        <v>20</v>
      </c>
      <c r="E29" s="2" t="s">
        <v>12</v>
      </c>
      <c r="F29" s="35"/>
      <c r="G29" s="9"/>
    </row>
    <row r="30" spans="1:7" x14ac:dyDescent="0.25">
      <c r="A30" s="14"/>
      <c r="G30" s="9"/>
    </row>
    <row r="31" spans="1:7" x14ac:dyDescent="0.25">
      <c r="A31" s="15" t="s">
        <v>8</v>
      </c>
      <c r="B31" s="2"/>
      <c r="G31" s="9"/>
    </row>
    <row r="32" spans="1:7" x14ac:dyDescent="0.25">
      <c r="A32" s="14"/>
      <c r="G32" s="9"/>
    </row>
    <row r="33" spans="1:8" x14ac:dyDescent="0.25">
      <c r="A33" s="18" t="s">
        <v>9</v>
      </c>
      <c r="B33" t="s">
        <v>13</v>
      </c>
      <c r="G33" s="9"/>
    </row>
    <row r="34" spans="1:8" x14ac:dyDescent="0.25">
      <c r="A34" s="18"/>
      <c r="G34" s="9"/>
    </row>
    <row r="35" spans="1:8" x14ac:dyDescent="0.25">
      <c r="A35" s="15" t="s">
        <v>29</v>
      </c>
      <c r="B35" t="s">
        <v>28</v>
      </c>
      <c r="G35" s="9"/>
    </row>
    <row r="36" spans="1:8" x14ac:dyDescent="0.25">
      <c r="A36" s="18"/>
      <c r="G36" s="9"/>
    </row>
    <row r="37" spans="1:8" x14ac:dyDescent="0.25">
      <c r="A37" s="23" t="s">
        <v>15</v>
      </c>
      <c r="B37" t="s">
        <v>28</v>
      </c>
      <c r="G37" s="9"/>
    </row>
    <row r="38" spans="1:8" ht="15.75" thickBot="1" x14ac:dyDescent="0.3">
      <c r="A38" s="12"/>
      <c r="B38" s="4"/>
      <c r="C38" s="4"/>
      <c r="D38" s="4"/>
      <c r="E38" s="4"/>
      <c r="F38" s="4"/>
      <c r="G38" s="13"/>
    </row>
    <row r="39" spans="1:8" ht="26.25" thickBot="1" x14ac:dyDescent="0.3">
      <c r="A39" s="22" t="s">
        <v>18</v>
      </c>
      <c r="D39" s="9"/>
      <c r="E39" s="22" t="s">
        <v>18</v>
      </c>
      <c r="G39" s="9"/>
    </row>
    <row r="40" spans="1:8" x14ac:dyDescent="0.25">
      <c r="A40" s="14"/>
      <c r="D40" s="9"/>
      <c r="G40" s="9"/>
    </row>
    <row r="41" spans="1:8" x14ac:dyDescent="0.25">
      <c r="A41" s="15" t="s">
        <v>10</v>
      </c>
      <c r="B41" s="17"/>
      <c r="C41" s="17"/>
      <c r="D41" s="30"/>
      <c r="E41" s="31" t="s">
        <v>31</v>
      </c>
      <c r="F41" s="1" t="s">
        <v>16</v>
      </c>
      <c r="G41" s="27"/>
    </row>
    <row r="42" spans="1:8" x14ac:dyDescent="0.25">
      <c r="A42" s="15"/>
      <c r="B42" s="17"/>
      <c r="C42" s="17"/>
      <c r="D42" s="30"/>
      <c r="E42" s="31"/>
      <c r="F42" s="1"/>
      <c r="G42" s="27"/>
    </row>
    <row r="43" spans="1:8" x14ac:dyDescent="0.25">
      <c r="A43" s="15" t="s">
        <v>32</v>
      </c>
      <c r="D43" s="9"/>
      <c r="G43" s="9"/>
    </row>
    <row r="44" spans="1:8" x14ac:dyDescent="0.25">
      <c r="A44" s="15"/>
      <c r="D44" s="9"/>
      <c r="E44" s="2" t="s">
        <v>33</v>
      </c>
      <c r="F44" s="1" t="s">
        <v>16</v>
      </c>
      <c r="G44" s="27"/>
    </row>
    <row r="45" spans="1:8" x14ac:dyDescent="0.25">
      <c r="A45" s="18" t="s">
        <v>14</v>
      </c>
      <c r="B45" s="1" t="s">
        <v>16</v>
      </c>
      <c r="C45" s="1"/>
      <c r="D45" s="27"/>
      <c r="G45" s="9"/>
    </row>
    <row r="46" spans="1:8" x14ac:dyDescent="0.25">
      <c r="A46" s="14"/>
      <c r="D46" s="9"/>
      <c r="F46" s="1"/>
      <c r="G46" s="27"/>
    </row>
    <row r="47" spans="1:8" x14ac:dyDescent="0.25">
      <c r="A47" s="15" t="s">
        <v>25</v>
      </c>
      <c r="B47" s="1" t="s">
        <v>16</v>
      </c>
      <c r="C47" s="1"/>
      <c r="D47" s="27"/>
      <c r="E47" s="2" t="s">
        <v>30</v>
      </c>
      <c r="F47" s="1" t="s">
        <v>16</v>
      </c>
      <c r="G47" s="27"/>
      <c r="H47" s="1"/>
    </row>
    <row r="48" spans="1:8" x14ac:dyDescent="0.25">
      <c r="A48" s="15"/>
      <c r="B48" s="19"/>
      <c r="C48" s="1"/>
      <c r="D48" s="27"/>
      <c r="G48" s="9"/>
    </row>
    <row r="49" spans="1:7" ht="20.25" customHeight="1" x14ac:dyDescent="0.25">
      <c r="A49" s="15" t="s">
        <v>24</v>
      </c>
      <c r="B49" s="1" t="s">
        <v>16</v>
      </c>
      <c r="C49" s="1"/>
      <c r="D49" s="27"/>
      <c r="E49" s="23" t="s">
        <v>15</v>
      </c>
      <c r="F49" s="1" t="s">
        <v>16</v>
      </c>
      <c r="G49" s="27"/>
    </row>
    <row r="50" spans="1:7" x14ac:dyDescent="0.25">
      <c r="A50" s="14"/>
      <c r="D50" s="9"/>
      <c r="G50" s="9"/>
    </row>
    <row r="51" spans="1:7" x14ac:dyDescent="0.25">
      <c r="A51" s="23"/>
      <c r="B51" s="1"/>
      <c r="C51" s="1"/>
      <c r="D51" s="27"/>
      <c r="G51" s="9"/>
    </row>
    <row r="52" spans="1:7" x14ac:dyDescent="0.25">
      <c r="A52" s="23" t="s">
        <v>15</v>
      </c>
      <c r="B52" s="1" t="s">
        <v>16</v>
      </c>
      <c r="C52" s="1"/>
      <c r="D52" s="27"/>
      <c r="G52" s="9"/>
    </row>
    <row r="53" spans="1:7" ht="15.75" thickBot="1" x14ac:dyDescent="0.3">
      <c r="A53" s="12"/>
      <c r="B53" s="4"/>
      <c r="C53" s="4"/>
      <c r="D53" s="13"/>
      <c r="E53" s="4"/>
      <c r="F53" s="4"/>
      <c r="G53" s="13"/>
    </row>
  </sheetData>
  <mergeCells count="9">
    <mergeCell ref="B19:D19"/>
    <mergeCell ref="B21:D21"/>
    <mergeCell ref="B23:D23"/>
    <mergeCell ref="B7:D7"/>
    <mergeCell ref="B9:D9"/>
    <mergeCell ref="B11:D11"/>
    <mergeCell ref="B13:E13"/>
    <mergeCell ref="C15:E15"/>
    <mergeCell ref="B17:D17"/>
  </mergeCells>
  <pageMargins left="0.59055118110236227" right="0.59055118110236227" top="0.39370078740157483" bottom="0" header="0.31496062992125984" footer="0.31496062992125984"/>
  <pageSetup paperSize="9" scale="93" orientation="portrait" r:id="rId1"/>
  <colBreaks count="1" manualBreakCount="1">
    <brk id="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1466850</xdr:colOff>
                    <xdr:row>5</xdr:row>
                    <xdr:rowOff>0</xdr:rowOff>
                  </from>
                  <to>
                    <xdr:col>6</xdr:col>
                    <xdr:colOff>66675</xdr:colOff>
                    <xdr:row>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2238375</xdr:colOff>
                    <xdr:row>30</xdr:row>
                    <xdr:rowOff>0</xdr:rowOff>
                  </from>
                  <to>
                    <xdr:col>2</xdr:col>
                    <xdr:colOff>276225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723900</xdr:colOff>
                    <xdr:row>30</xdr:row>
                    <xdr:rowOff>0</xdr:rowOff>
                  </from>
                  <to>
                    <xdr:col>4</xdr:col>
                    <xdr:colOff>0</xdr:colOff>
                    <xdr:row>31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2247900</xdr:colOff>
                    <xdr:row>40</xdr:row>
                    <xdr:rowOff>0</xdr:rowOff>
                  </from>
                  <to>
                    <xdr:col>2</xdr:col>
                    <xdr:colOff>276225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723900</xdr:colOff>
                    <xdr:row>40</xdr:row>
                    <xdr:rowOff>0</xdr:rowOff>
                  </from>
                  <to>
                    <xdr:col>4</xdr:col>
                    <xdr:colOff>0</xdr:colOff>
                    <xdr:row>41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42</xdr:row>
                    <xdr:rowOff>0</xdr:rowOff>
                  </from>
                  <to>
                    <xdr:col>2</xdr:col>
                    <xdr:colOff>276225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42</xdr:row>
                    <xdr:rowOff>0</xdr:rowOff>
                  </from>
                  <to>
                    <xdr:col>4</xdr:col>
                    <xdr:colOff>0</xdr:colOff>
                    <xdr:row>43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1466850</xdr:colOff>
                    <xdr:row>10</xdr:row>
                    <xdr:rowOff>38100</xdr:rowOff>
                  </from>
                  <to>
                    <xdr:col>6</xdr:col>
                    <xdr:colOff>66675</xdr:colOff>
                    <xdr:row>11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4</xdr:col>
                    <xdr:colOff>1466850</xdr:colOff>
                    <xdr:row>6</xdr:row>
                    <xdr:rowOff>9525</xdr:rowOff>
                  </from>
                  <to>
                    <xdr:col>6</xdr:col>
                    <xdr:colOff>57150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4</xdr:col>
                    <xdr:colOff>1466850</xdr:colOff>
                    <xdr:row>7</xdr:row>
                    <xdr:rowOff>9525</xdr:rowOff>
                  </from>
                  <to>
                    <xdr:col>6</xdr:col>
                    <xdr:colOff>142875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4</xdr:col>
                    <xdr:colOff>1466850</xdr:colOff>
                    <xdr:row>9</xdr:row>
                    <xdr:rowOff>38100</xdr:rowOff>
                  </from>
                  <to>
                    <xdr:col>6</xdr:col>
                    <xdr:colOff>47625</xdr:colOff>
                    <xdr:row>10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4</xdr:col>
                    <xdr:colOff>1466850</xdr:colOff>
                    <xdr:row>8</xdr:row>
                    <xdr:rowOff>28575</xdr:rowOff>
                  </from>
                  <to>
                    <xdr:col>6</xdr:col>
                    <xdr:colOff>57150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4</xdr:col>
                    <xdr:colOff>1466850</xdr:colOff>
                    <xdr:row>11</xdr:row>
                    <xdr:rowOff>28575</xdr:rowOff>
                  </from>
                  <to>
                    <xdr:col>6</xdr:col>
                    <xdr:colOff>66675</xdr:colOff>
                    <xdr:row>12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TaxCatchAll xmlns="e7421f67-95de-47b3-9e2f-819dea5dad9b" xsi:nil="true"/>
    <lcf76f155ced4ddcb4097134ff3c332f xmlns="e57e7513-d9b9-49e5-987a-399031dd01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01938634077447B0E2412630AA2E7B" ma:contentTypeVersion="25" ma:contentTypeDescription="Ein neues Dokument erstellen." ma:contentTypeScope="" ma:versionID="66d4e0840d94885c9216a18b1ca6b7ba">
  <xsd:schema xmlns:xsd="http://www.w3.org/2001/XMLSchema" xmlns:xs="http://www.w3.org/2001/XMLSchema" xmlns:p="http://schemas.microsoft.com/office/2006/metadata/properties" xmlns:ns2="e7421f67-95de-47b3-9e2f-819dea5dad9b" xmlns:ns3="e57e7513-d9b9-49e5-987a-399031dd01e9" xmlns:ns4="http://schemas.microsoft.com/sharepoint/v3/fields" targetNamespace="http://schemas.microsoft.com/office/2006/metadata/properties" ma:root="true" ma:fieldsID="4fdae9f62025c33624091ca7636ebe59" ns2:_="" ns3:_="" ns4:_="">
    <xsd:import namespace="e7421f67-95de-47b3-9e2f-819dea5dad9b"/>
    <xsd:import namespace="e57e7513-d9b9-49e5-987a-399031dd01e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_DCDateModified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1f67-95de-47b3-9e2f-819dea5dad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e10ac3-38c1-432d-88af-48592f79033b}" ma:internalName="TaxCatchAll" ma:showField="CatchAllData" ma:web="e7421f67-95de-47b3-9e2f-819dea5da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e7513-d9b9-49e5-987a-399031dd0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99aacd2c-470f-4ec8-8375-c08ff94313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8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1379AD-D0EF-4DAB-A98D-B54E2D7C6BA6}">
  <ds:schemaRefs>
    <ds:schemaRef ds:uri="http://schemas.microsoft.com/sharepoint/v3/fields"/>
    <ds:schemaRef ds:uri="e57e7513-d9b9-49e5-987a-399031dd01e9"/>
    <ds:schemaRef ds:uri="http://schemas.microsoft.com/office/infopath/2007/PartnerControls"/>
    <ds:schemaRef ds:uri="e7421f67-95de-47b3-9e2f-819dea5dad9b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5306F8B-FA10-4465-829D-F9D5787FDA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61FC8-E79C-4F8F-B9B8-A6F8E96CB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421f67-95de-47b3-9e2f-819dea5dad9b"/>
    <ds:schemaRef ds:uri="e57e7513-d9b9-49e5-987a-399031dd01e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6</vt:i4>
      </vt:variant>
    </vt:vector>
  </HeadingPairs>
  <TitlesOfParts>
    <vt:vector size="11" baseType="lpstr">
      <vt:lpstr>Tabelle1</vt:lpstr>
      <vt:lpstr>Tabelle2</vt:lpstr>
      <vt:lpstr>Tabelle3</vt:lpstr>
      <vt:lpstr>Tabelle1 (2)</vt:lpstr>
      <vt:lpstr>Original </vt:lpstr>
      <vt:lpstr>'Original '!Druckbereich</vt:lpstr>
      <vt:lpstr>Tabelle1!Druckbereich</vt:lpstr>
      <vt:lpstr>'Tabelle1 (2)'!Druckbereich</vt:lpstr>
      <vt:lpstr>'Original '!Print_Area</vt:lpstr>
      <vt:lpstr>Tabelle1!Print_Area</vt:lpstr>
      <vt:lpstr>'Tabelle1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CTKG</dc:creator>
  <cp:lastModifiedBy>Daniel Strübig</cp:lastModifiedBy>
  <cp:lastPrinted>2025-09-17T12:47:23Z</cp:lastPrinted>
  <dcterms:created xsi:type="dcterms:W3CDTF">2022-03-14T05:52:10Z</dcterms:created>
  <dcterms:modified xsi:type="dcterms:W3CDTF">2025-09-17T12:47:33Z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0x010100A401938634077447B0E2412630AA2E7B</vt:lpwstr>
  </property>
  <property fmtid="{D5CDD505-2E9C-101B-9397-08002B2CF9AE}" pid="3" name="MediaServiceImageTags">
    <vt:lpwstr/>
  </property>
</Properties>
</file>
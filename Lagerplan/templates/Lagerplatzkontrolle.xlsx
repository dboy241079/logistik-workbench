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amprojekt.sharepoint.com/sites/TEAMProjektOutsourcingGmbH19/Freigegebene Dokumente/Betriebe/VW Wunstorf/Operative/04_Inventur/"/>
    </mc:Choice>
  </mc:AlternateContent>
  <xr:revisionPtr revIDLastSave="2068" documentId="8_{82E00332-7098-412B-BB66-0ABAA6396559}" xr6:coauthVersionLast="47" xr6:coauthVersionMax="47" xr10:uidLastSave="{3ECD4B45-6E11-4784-9C4B-152DFE4FFC8B}"/>
  <bookViews>
    <workbookView xWindow="-96" yWindow="-96" windowWidth="23232" windowHeight="13872" firstSheet="21" activeTab="29" xr2:uid="{6A0D154A-187E-4C44-8560-E1CECA473744}"/>
  </bookViews>
  <sheets>
    <sheet name="H3-R01" sheetId="7" r:id="rId1"/>
    <sheet name="H3-R02" sheetId="12" r:id="rId2"/>
    <sheet name="H3-R03" sheetId="13" r:id="rId3"/>
    <sheet name="H3-R04" sheetId="14" r:id="rId4"/>
    <sheet name="H3-R05" sheetId="15" r:id="rId5"/>
    <sheet name="H3-R06" sheetId="16" r:id="rId6"/>
    <sheet name="H3-R07" sheetId="17" r:id="rId7"/>
    <sheet name="H3-R08" sheetId="18" r:id="rId8"/>
    <sheet name="H3-R09" sheetId="19" r:id="rId9"/>
    <sheet name="H3-R10" sheetId="20" r:id="rId10"/>
    <sheet name="H3-R11" sheetId="21" r:id="rId11"/>
    <sheet name="H3-R12" sheetId="22" r:id="rId12"/>
    <sheet name="H3-R13" sheetId="23" r:id="rId13"/>
    <sheet name="H3-R14" sheetId="24" r:id="rId14"/>
    <sheet name="H3-R15" sheetId="25" r:id="rId15"/>
    <sheet name="H3-R16" sheetId="26" r:id="rId16"/>
    <sheet name="H3-R17" sheetId="27" r:id="rId17"/>
    <sheet name="H3-R18" sheetId="28" r:id="rId18"/>
    <sheet name="H3-R19" sheetId="29" r:id="rId19"/>
    <sheet name="H3-R20" sheetId="30" r:id="rId20"/>
    <sheet name="H3-R21" sheetId="31" r:id="rId21"/>
    <sheet name="H3-R22" sheetId="32" r:id="rId22"/>
    <sheet name="H3-R23" sheetId="33" r:id="rId23"/>
    <sheet name="H3-R24" sheetId="34" r:id="rId24"/>
    <sheet name="H3-R25" sheetId="35" r:id="rId25"/>
    <sheet name="H3-R26" sheetId="36" r:id="rId26"/>
    <sheet name="H3-R27" sheetId="37" r:id="rId27"/>
    <sheet name="H3-R28" sheetId="38" r:id="rId28"/>
    <sheet name="H3-R29" sheetId="39" r:id="rId29"/>
    <sheet name="H3-R30" sheetId="40" r:id="rId30"/>
    <sheet name="Lagerbestand" sheetId="1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40" l="1"/>
  <c r="D24" i="40"/>
  <c r="H23" i="40"/>
  <c r="H22" i="40"/>
  <c r="H21" i="40"/>
  <c r="H20" i="40"/>
  <c r="H19" i="40"/>
  <c r="H18" i="40"/>
  <c r="H17" i="40"/>
  <c r="H16" i="40"/>
  <c r="H15" i="40"/>
  <c r="H14" i="40"/>
  <c r="H13" i="40"/>
  <c r="H12" i="40"/>
  <c r="H11" i="40"/>
  <c r="H10" i="40"/>
  <c r="H9" i="40"/>
  <c r="H8" i="40"/>
  <c r="H7" i="40"/>
  <c r="H6" i="40"/>
  <c r="H5" i="40"/>
  <c r="E5" i="40"/>
  <c r="H4" i="40"/>
  <c r="H24" i="40" s="1"/>
  <c r="E4" i="40"/>
  <c r="E24" i="40" s="1"/>
  <c r="G24" i="39"/>
  <c r="D24" i="39"/>
  <c r="H23" i="39"/>
  <c r="H22" i="39"/>
  <c r="H21" i="39"/>
  <c r="H20" i="39"/>
  <c r="H19" i="39"/>
  <c r="H18" i="39"/>
  <c r="H17" i="39"/>
  <c r="H16" i="39"/>
  <c r="H15" i="39"/>
  <c r="H14" i="39"/>
  <c r="H13" i="39"/>
  <c r="H12" i="39"/>
  <c r="H11" i="39"/>
  <c r="H10" i="39"/>
  <c r="H9" i="39"/>
  <c r="H8" i="39"/>
  <c r="H7" i="39"/>
  <c r="H6" i="39"/>
  <c r="H5" i="39"/>
  <c r="E5" i="39"/>
  <c r="E24" i="39" s="1"/>
  <c r="H4" i="39"/>
  <c r="H24" i="39" s="1"/>
  <c r="E4" i="39"/>
  <c r="G24" i="38"/>
  <c r="D24" i="38"/>
  <c r="H23" i="38"/>
  <c r="H22" i="38"/>
  <c r="H21" i="38"/>
  <c r="H20" i="38"/>
  <c r="H19" i="38"/>
  <c r="H18" i="38"/>
  <c r="H17" i="38"/>
  <c r="H16" i="38"/>
  <c r="H15" i="38"/>
  <c r="H14" i="38"/>
  <c r="H13" i="38"/>
  <c r="H12" i="38"/>
  <c r="H11" i="38"/>
  <c r="H10" i="38"/>
  <c r="H9" i="38"/>
  <c r="H8" i="38"/>
  <c r="H7" i="38"/>
  <c r="H6" i="38"/>
  <c r="H5" i="38"/>
  <c r="E5" i="38"/>
  <c r="E24" i="38" s="1"/>
  <c r="H4" i="38"/>
  <c r="H24" i="38" s="1"/>
  <c r="E4" i="38"/>
  <c r="G24" i="37"/>
  <c r="D24" i="37"/>
  <c r="H23" i="37"/>
  <c r="H22" i="37"/>
  <c r="H21" i="37"/>
  <c r="H20" i="37"/>
  <c r="H19" i="37"/>
  <c r="H18" i="37"/>
  <c r="H17" i="37"/>
  <c r="H16" i="37"/>
  <c r="H15" i="37"/>
  <c r="H14" i="37"/>
  <c r="H13" i="37"/>
  <c r="H12" i="37"/>
  <c r="H11" i="37"/>
  <c r="H10" i="37"/>
  <c r="H9" i="37"/>
  <c r="H8" i="37"/>
  <c r="H7" i="37"/>
  <c r="H6" i="37"/>
  <c r="H5" i="37"/>
  <c r="E5" i="37"/>
  <c r="H4" i="37"/>
  <c r="E4" i="37"/>
  <c r="E24" i="37" s="1"/>
  <c r="G24" i="36"/>
  <c r="D24" i="36"/>
  <c r="H23" i="36"/>
  <c r="H22" i="36"/>
  <c r="H21" i="36"/>
  <c r="H20" i="36"/>
  <c r="H19" i="36"/>
  <c r="H18" i="36"/>
  <c r="H17" i="36"/>
  <c r="H16" i="36"/>
  <c r="H15" i="36"/>
  <c r="H14" i="36"/>
  <c r="H13" i="36"/>
  <c r="H12" i="36"/>
  <c r="H11" i="36"/>
  <c r="H10" i="36"/>
  <c r="H9" i="36"/>
  <c r="H8" i="36"/>
  <c r="H7" i="36"/>
  <c r="H6" i="36"/>
  <c r="H5" i="36"/>
  <c r="E5" i="36"/>
  <c r="H4" i="36"/>
  <c r="H24" i="36" s="1"/>
  <c r="E4" i="36"/>
  <c r="G24" i="35"/>
  <c r="D24" i="35"/>
  <c r="H23" i="35"/>
  <c r="H22" i="35"/>
  <c r="H21" i="35"/>
  <c r="H20" i="35"/>
  <c r="H19" i="35"/>
  <c r="H18" i="35"/>
  <c r="H17" i="35"/>
  <c r="H16" i="35"/>
  <c r="H15" i="35"/>
  <c r="H14" i="35"/>
  <c r="H13" i="35"/>
  <c r="H12" i="35"/>
  <c r="H11" i="35"/>
  <c r="H10" i="35"/>
  <c r="H9" i="35"/>
  <c r="H8" i="35"/>
  <c r="H7" i="35"/>
  <c r="H6" i="35"/>
  <c r="H5" i="35"/>
  <c r="E5" i="35"/>
  <c r="H4" i="35"/>
  <c r="E4" i="35"/>
  <c r="E24" i="35" s="1"/>
  <c r="G24" i="34"/>
  <c r="D24" i="34"/>
  <c r="H23" i="34"/>
  <c r="H22" i="34"/>
  <c r="H21" i="34"/>
  <c r="H20" i="34"/>
  <c r="H19" i="34"/>
  <c r="H18" i="34"/>
  <c r="H17" i="34"/>
  <c r="H16" i="34"/>
  <c r="H15" i="34"/>
  <c r="H14" i="34"/>
  <c r="H13" i="34"/>
  <c r="H12" i="34"/>
  <c r="H11" i="34"/>
  <c r="H10" i="34"/>
  <c r="H9" i="34"/>
  <c r="H8" i="34"/>
  <c r="H7" i="34"/>
  <c r="H6" i="34"/>
  <c r="H5" i="34"/>
  <c r="E5" i="34"/>
  <c r="E24" i="34" s="1"/>
  <c r="H4" i="34"/>
  <c r="H24" i="34" s="1"/>
  <c r="E4" i="34"/>
  <c r="G24" i="33"/>
  <c r="D24" i="33"/>
  <c r="H23" i="33"/>
  <c r="H22" i="33"/>
  <c r="H21" i="33"/>
  <c r="H20" i="33"/>
  <c r="H19" i="33"/>
  <c r="H18" i="33"/>
  <c r="H17" i="33"/>
  <c r="H16" i="33"/>
  <c r="H15" i="33"/>
  <c r="H14" i="33"/>
  <c r="H13" i="33"/>
  <c r="H12" i="33"/>
  <c r="H11" i="33"/>
  <c r="H10" i="33"/>
  <c r="H9" i="33"/>
  <c r="H8" i="33"/>
  <c r="H7" i="33"/>
  <c r="H6" i="33"/>
  <c r="H5" i="33"/>
  <c r="E5" i="33"/>
  <c r="E24" i="33" s="1"/>
  <c r="H4" i="33"/>
  <c r="E4" i="33"/>
  <c r="G24" i="32"/>
  <c r="D24" i="32"/>
  <c r="H23" i="32"/>
  <c r="H22" i="32"/>
  <c r="H21" i="32"/>
  <c r="H20" i="32"/>
  <c r="H19" i="32"/>
  <c r="H18" i="32"/>
  <c r="H17" i="32"/>
  <c r="H16" i="32"/>
  <c r="H15" i="32"/>
  <c r="H14" i="32"/>
  <c r="H13" i="32"/>
  <c r="H12" i="32"/>
  <c r="H11" i="32"/>
  <c r="H10" i="32"/>
  <c r="H9" i="32"/>
  <c r="H8" i="32"/>
  <c r="H7" i="32"/>
  <c r="H6" i="32"/>
  <c r="H5" i="32"/>
  <c r="E5" i="32"/>
  <c r="E24" i="32" s="1"/>
  <c r="H4" i="32"/>
  <c r="H24" i="32" s="1"/>
  <c r="E4" i="32"/>
  <c r="G24" i="31"/>
  <c r="D24" i="31"/>
  <c r="H23" i="31"/>
  <c r="H22" i="31"/>
  <c r="H21" i="31"/>
  <c r="H20" i="31"/>
  <c r="H19" i="31"/>
  <c r="H18" i="31"/>
  <c r="H17" i="31"/>
  <c r="H16" i="31"/>
  <c r="H15" i="31"/>
  <c r="H14" i="31"/>
  <c r="H13" i="31"/>
  <c r="H12" i="31"/>
  <c r="H11" i="31"/>
  <c r="H10" i="31"/>
  <c r="H9" i="31"/>
  <c r="H8" i="31"/>
  <c r="H7" i="31"/>
  <c r="H6" i="31"/>
  <c r="H5" i="31"/>
  <c r="E5" i="31"/>
  <c r="H4" i="31"/>
  <c r="E4" i="31"/>
  <c r="E24" i="31" s="1"/>
  <c r="G24" i="30"/>
  <c r="D24" i="30"/>
  <c r="H23" i="30"/>
  <c r="H22" i="30"/>
  <c r="H21" i="30"/>
  <c r="H20" i="30"/>
  <c r="H19" i="30"/>
  <c r="H18" i="30"/>
  <c r="H17" i="30"/>
  <c r="H16" i="30"/>
  <c r="H15" i="30"/>
  <c r="H14" i="30"/>
  <c r="H13" i="30"/>
  <c r="H12" i="30"/>
  <c r="H11" i="30"/>
  <c r="H10" i="30"/>
  <c r="H9" i="30"/>
  <c r="H8" i="30"/>
  <c r="H7" i="30"/>
  <c r="H6" i="30"/>
  <c r="H5" i="30"/>
  <c r="E5" i="30"/>
  <c r="E24" i="30" s="1"/>
  <c r="H4" i="30"/>
  <c r="E4" i="30"/>
  <c r="G24" i="29"/>
  <c r="D24" i="29"/>
  <c r="H23" i="29"/>
  <c r="H22" i="29"/>
  <c r="H21" i="29"/>
  <c r="H20" i="29"/>
  <c r="H19" i="29"/>
  <c r="H18" i="29"/>
  <c r="H17" i="29"/>
  <c r="H16" i="29"/>
  <c r="H15" i="29"/>
  <c r="H14" i="29"/>
  <c r="H13" i="29"/>
  <c r="H12" i="29"/>
  <c r="H11" i="29"/>
  <c r="H10" i="29"/>
  <c r="H9" i="29"/>
  <c r="H8" i="29"/>
  <c r="H7" i="29"/>
  <c r="H6" i="29"/>
  <c r="H5" i="29"/>
  <c r="E5" i="29"/>
  <c r="E24" i="29" s="1"/>
  <c r="H4" i="29"/>
  <c r="H24" i="29" s="1"/>
  <c r="E4" i="29"/>
  <c r="G24" i="28"/>
  <c r="D24" i="28"/>
  <c r="H23" i="28"/>
  <c r="H22" i="28"/>
  <c r="H21" i="28"/>
  <c r="H20" i="28"/>
  <c r="H19" i="28"/>
  <c r="H18" i="28"/>
  <c r="H17" i="28"/>
  <c r="H16" i="28"/>
  <c r="H15" i="28"/>
  <c r="H14" i="28"/>
  <c r="H13" i="28"/>
  <c r="H12" i="28"/>
  <c r="H11" i="28"/>
  <c r="H10" i="28"/>
  <c r="H9" i="28"/>
  <c r="H8" i="28"/>
  <c r="H7" i="28"/>
  <c r="H6" i="28"/>
  <c r="H5" i="28"/>
  <c r="E5" i="28"/>
  <c r="E24" i="28" s="1"/>
  <c r="H4" i="28"/>
  <c r="H24" i="28" s="1"/>
  <c r="E4" i="28"/>
  <c r="G24" i="27"/>
  <c r="D24" i="27"/>
  <c r="H23" i="27"/>
  <c r="H22" i="27"/>
  <c r="H21" i="27"/>
  <c r="H20" i="27"/>
  <c r="H19" i="27"/>
  <c r="H18" i="27"/>
  <c r="H17" i="27"/>
  <c r="H16" i="27"/>
  <c r="H15" i="27"/>
  <c r="H14" i="27"/>
  <c r="H13" i="27"/>
  <c r="H12" i="27"/>
  <c r="H11" i="27"/>
  <c r="H10" i="27"/>
  <c r="H9" i="27"/>
  <c r="H8" i="27"/>
  <c r="H7" i="27"/>
  <c r="H6" i="27"/>
  <c r="H5" i="27"/>
  <c r="E5" i="27"/>
  <c r="E24" i="27" s="1"/>
  <c r="H4" i="27"/>
  <c r="E4" i="27"/>
  <c r="G24" i="26"/>
  <c r="D24" i="26"/>
  <c r="H23" i="26"/>
  <c r="H22" i="26"/>
  <c r="H21" i="26"/>
  <c r="H20" i="26"/>
  <c r="H19" i="26"/>
  <c r="H18" i="26"/>
  <c r="H17" i="26"/>
  <c r="H16" i="26"/>
  <c r="H15" i="26"/>
  <c r="H14" i="26"/>
  <c r="H13" i="26"/>
  <c r="H12" i="26"/>
  <c r="H11" i="26"/>
  <c r="H10" i="26"/>
  <c r="H9" i="26"/>
  <c r="H8" i="26"/>
  <c r="H7" i="26"/>
  <c r="H6" i="26"/>
  <c r="H5" i="26"/>
  <c r="E5" i="26"/>
  <c r="H4" i="26"/>
  <c r="E4" i="26"/>
  <c r="E24" i="26" s="1"/>
  <c r="G24" i="25"/>
  <c r="D24" i="25"/>
  <c r="H23" i="25"/>
  <c r="H22" i="25"/>
  <c r="H21" i="25"/>
  <c r="H20" i="25"/>
  <c r="H19" i="25"/>
  <c r="H18" i="25"/>
  <c r="H17" i="25"/>
  <c r="H16" i="25"/>
  <c r="H15" i="25"/>
  <c r="H14" i="25"/>
  <c r="H13" i="25"/>
  <c r="H12" i="25"/>
  <c r="H11" i="25"/>
  <c r="H10" i="25"/>
  <c r="H9" i="25"/>
  <c r="H8" i="25"/>
  <c r="H7" i="25"/>
  <c r="H6" i="25"/>
  <c r="H5" i="25"/>
  <c r="E5" i="25"/>
  <c r="H4" i="25"/>
  <c r="H24" i="25" s="1"/>
  <c r="E4" i="25"/>
  <c r="E24" i="25" s="1"/>
  <c r="G24" i="24"/>
  <c r="D24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E5" i="24"/>
  <c r="H4" i="24"/>
  <c r="E4" i="24"/>
  <c r="E24" i="24" s="1"/>
  <c r="G24" i="23"/>
  <c r="D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E5" i="23"/>
  <c r="H4" i="23"/>
  <c r="H24" i="23" s="1"/>
  <c r="E4" i="23"/>
  <c r="E24" i="23" s="1"/>
  <c r="G24" i="22"/>
  <c r="D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E5" i="22"/>
  <c r="E24" i="22" s="1"/>
  <c r="H4" i="22"/>
  <c r="H24" i="22" s="1"/>
  <c r="E4" i="22"/>
  <c r="G24" i="21"/>
  <c r="D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E5" i="21"/>
  <c r="E24" i="21" s="1"/>
  <c r="H4" i="21"/>
  <c r="H24" i="21" s="1"/>
  <c r="E4" i="21"/>
  <c r="G24" i="20"/>
  <c r="D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E5" i="20"/>
  <c r="E24" i="20" s="1"/>
  <c r="H4" i="20"/>
  <c r="H24" i="20" s="1"/>
  <c r="E4" i="20"/>
  <c r="G24" i="19"/>
  <c r="D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E5" i="19"/>
  <c r="H4" i="19"/>
  <c r="H24" i="19" s="1"/>
  <c r="E4" i="19"/>
  <c r="E24" i="19" s="1"/>
  <c r="G24" i="18"/>
  <c r="D24" i="18"/>
  <c r="H23" i="18"/>
  <c r="H22" i="18"/>
  <c r="H21" i="18"/>
  <c r="H20" i="18"/>
  <c r="H19" i="18"/>
  <c r="H18" i="18"/>
  <c r="H17" i="18"/>
  <c r="H16" i="18"/>
  <c r="H15" i="18"/>
  <c r="H14" i="18"/>
  <c r="H13" i="18"/>
  <c r="H12" i="18"/>
  <c r="H11" i="18"/>
  <c r="H10" i="18"/>
  <c r="H9" i="18"/>
  <c r="H8" i="18"/>
  <c r="H7" i="18"/>
  <c r="H6" i="18"/>
  <c r="H5" i="18"/>
  <c r="E5" i="18"/>
  <c r="H4" i="18"/>
  <c r="H24" i="18" s="1"/>
  <c r="E4" i="18"/>
  <c r="E24" i="18" s="1"/>
  <c r="G24" i="17"/>
  <c r="E24" i="17"/>
  <c r="D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E5" i="17"/>
  <c r="H4" i="17"/>
  <c r="H24" i="17" s="1"/>
  <c r="E4" i="17"/>
  <c r="G24" i="16"/>
  <c r="E24" i="16"/>
  <c r="D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E5" i="16"/>
  <c r="H4" i="16"/>
  <c r="H24" i="16" s="1"/>
  <c r="E4" i="16"/>
  <c r="G24" i="15"/>
  <c r="D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E5" i="15"/>
  <c r="H4" i="15"/>
  <c r="H24" i="15" s="1"/>
  <c r="E4" i="15"/>
  <c r="E24" i="15" s="1"/>
  <c r="E5" i="14"/>
  <c r="G24" i="14"/>
  <c r="D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E4" i="14"/>
  <c r="E24" i="14" s="1"/>
  <c r="G24" i="13"/>
  <c r="D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24" i="13" s="1"/>
  <c r="E4" i="13"/>
  <c r="E24" i="13" s="1"/>
  <c r="G24" i="12"/>
  <c r="D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24" i="12" s="1"/>
  <c r="E4" i="12"/>
  <c r="E24" i="12" s="1"/>
  <c r="E13" i="11"/>
  <c r="E12" i="11"/>
  <c r="E11" i="11"/>
  <c r="E10" i="11"/>
  <c r="E9" i="11"/>
  <c r="E8" i="11"/>
  <c r="E7" i="11"/>
  <c r="E6" i="11"/>
  <c r="E5" i="11"/>
  <c r="P25" i="11"/>
  <c r="N25" i="11"/>
  <c r="M25" i="11"/>
  <c r="Q24" i="11"/>
  <c r="Q23" i="11"/>
  <c r="Q22" i="11"/>
  <c r="Q21" i="11"/>
  <c r="Q20" i="1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6" i="11"/>
  <c r="Q5" i="11"/>
  <c r="H24" i="37" l="1"/>
  <c r="E24" i="36"/>
  <c r="H24" i="35"/>
  <c r="H24" i="33"/>
  <c r="H24" i="31"/>
  <c r="H24" i="30"/>
  <c r="H24" i="27"/>
  <c r="H24" i="26"/>
  <c r="H24" i="24"/>
  <c r="H24" i="14"/>
  <c r="Q25" i="11"/>
  <c r="G25" i="11"/>
  <c r="D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E25" i="11"/>
  <c r="G24" i="7"/>
  <c r="D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E4" i="7"/>
  <c r="H25" i="11" l="1"/>
  <c r="E24" i="7"/>
  <c r="H24" i="7"/>
</calcChain>
</file>

<file path=xl/sharedStrings.xml><?xml version="1.0" encoding="utf-8"?>
<sst xmlns="http://schemas.openxmlformats.org/spreadsheetml/2006/main" count="498" uniqueCount="64">
  <si>
    <t>Lagerplatz</t>
  </si>
  <si>
    <t>Sachnummer</t>
  </si>
  <si>
    <t>Position</t>
  </si>
  <si>
    <t>Menge/ Behälter</t>
  </si>
  <si>
    <t>Anzahl Behälter</t>
  </si>
  <si>
    <t>Gesamt-menge</t>
  </si>
  <si>
    <t>Bemerkung</t>
  </si>
  <si>
    <t>Zähler:</t>
  </si>
  <si>
    <t>05C 145 785 D</t>
  </si>
  <si>
    <t>03N 117 021</t>
  </si>
  <si>
    <t>05L 117 021 C</t>
  </si>
  <si>
    <t>Systembestand</t>
  </si>
  <si>
    <t>Menge/ Behälter1</t>
  </si>
  <si>
    <t>Anzahl Behälter1</t>
  </si>
  <si>
    <t>Gesamt-menge1</t>
  </si>
  <si>
    <t>Lagerbestand-IST</t>
  </si>
  <si>
    <t>05L 117 021 A</t>
  </si>
  <si>
    <t>Reihe</t>
  </si>
  <si>
    <t>Ref.-Nr.</t>
  </si>
  <si>
    <t>0Z1 915 646 E</t>
  </si>
  <si>
    <t>06125004815881</t>
  </si>
  <si>
    <t>06125004815831</t>
  </si>
  <si>
    <t>06125004815806</t>
  </si>
  <si>
    <t>06125004815781</t>
  </si>
  <si>
    <t>06125004815756</t>
  </si>
  <si>
    <t>06125004815731</t>
  </si>
  <si>
    <t>06126005211292</t>
  </si>
  <si>
    <t>06126005211267</t>
  </si>
  <si>
    <t>06126005211242</t>
  </si>
  <si>
    <t>H3/R01</t>
  </si>
  <si>
    <t>H3/R02</t>
  </si>
  <si>
    <t>H3/R03</t>
  </si>
  <si>
    <t>05E 117 021 C</t>
  </si>
  <si>
    <t>H3/R04</t>
  </si>
  <si>
    <t>H3/R05</t>
  </si>
  <si>
    <t>04C 145 749 A</t>
  </si>
  <si>
    <t>H3/R06</t>
  </si>
  <si>
    <t>H3/R07</t>
  </si>
  <si>
    <t>H3/R08</t>
  </si>
  <si>
    <t>H3/R09</t>
  </si>
  <si>
    <t>H3/R10</t>
  </si>
  <si>
    <t>H3/R11</t>
  </si>
  <si>
    <t>H3/R12</t>
  </si>
  <si>
    <t>H3/R13</t>
  </si>
  <si>
    <t>H3/R14</t>
  </si>
  <si>
    <t>H3/R15</t>
  </si>
  <si>
    <t>03L 117 021 C</t>
  </si>
  <si>
    <t>H3/R16</t>
  </si>
  <si>
    <t>H3/R17</t>
  </si>
  <si>
    <t>H3/R18</t>
  </si>
  <si>
    <t>H3/R19</t>
  </si>
  <si>
    <t>H3/R20</t>
  </si>
  <si>
    <t>H3/R21</t>
  </si>
  <si>
    <t>H3/R22</t>
  </si>
  <si>
    <t>H3/R23</t>
  </si>
  <si>
    <t>H3/R24</t>
  </si>
  <si>
    <t>H3/R25</t>
  </si>
  <si>
    <t>3Q0 915 470 D</t>
  </si>
  <si>
    <t>H3/R26</t>
  </si>
  <si>
    <t>leer</t>
  </si>
  <si>
    <t>H3/R27</t>
  </si>
  <si>
    <t>H3/R28</t>
  </si>
  <si>
    <t>H3/R29</t>
  </si>
  <si>
    <t>H3/R30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</si>
</sst>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3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3">
    <xf numFmtId="0" fontId="0" fillId="0" borderId="0" xfId="0"/>
    <xf numFmtId="14" fontId="0" fillId="0" borderId="10" xfId="0" applyNumberFormat="1" applyBorder="1"/>
    <xf numFmtId="0" fontId="3" fillId="2" borderId="1" xfId="0" applyFont="1" applyFill="1" applyBorder="1" applyAlignment="1">
      <alignment horizontal="center" shrinkToFit="1"/>
    </xf>
    <xf numFmtId="0" fontId="3" fillId="2" borderId="6" xfId="0" applyFont="1" applyFill="1" applyBorder="1" applyAlignment="1">
      <alignment horizontal="center" shrinkToFit="1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/>
    </xf>
    <xf numFmtId="0" fontId="5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3" xfId="0" applyFont="1" applyBorder="1" applyAlignment="1">
      <alignment horizontal="right"/>
    </xf>
    <xf numFmtId="0" fontId="5" fillId="0" borderId="7" xfId="0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 applyAlignment="1">
      <alignment horizontal="right"/>
    </xf>
    <xf numFmtId="0" fontId="5" fillId="0" borderId="0" xfId="0" applyFont="1"/>
    <xf numFmtId="0" fontId="5" fillId="0" borderId="10" xfId="0" applyFont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1" xfId="0" quotePrefix="1" applyFont="1" applyBorder="1"/>
    <xf numFmtId="0" fontId="2" fillId="0" borderId="3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2" borderId="1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0" borderId="0" xfId="1" applyFont="1"/>
    <xf numFmtId="0" fontId="5" fillId="0" borderId="1" xfId="1" applyFont="1" applyBorder="1"/>
  </cellXfs>
  <cellStyles count="2">
    <cellStyle name="Standard" xfId="0" builtinId="0"/>
    <cellStyle name="Standard 2" xfId="1" xr:uid="{B48A8873-F390-4D81-AE8D-9061ECF1C178}"/>
  </cellStyles>
  <dxfs count="768"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A44CD73-10D3-43E8-A8A0-10CC1C7403A8}" name="Tabelle2151422" displayName="Tabelle2151422" ref="A3:I24" totalsRowCount="1" headerRowDxfId="767" dataDxfId="765" totalsRowDxfId="763" headerRowBorderDxfId="766" tableBorderDxfId="764" totalsRowBorderDxfId="762">
  <autoFilter ref="A3:I23" xr:uid="{8AEE785E-BA42-47AD-89F6-E619B4CC430E}"/>
  <tableColumns count="9">
    <tableColumn id="1" xr3:uid="{BCAD1CD0-7454-4048-B78C-DD0FF9EFED45}" name="Position" dataDxfId="761" totalsRowDxfId="617"/>
    <tableColumn id="2" xr3:uid="{84858D36-A9B1-4C92-ABBF-4D3580912112}" name="Sachnummer" dataDxfId="760" totalsRowDxfId="616"/>
    <tableColumn id="8" xr3:uid="{13046523-64B2-4FC0-B20F-DA8594A40E06}" name="Menge/ Behälter" dataDxfId="759" totalsRowDxfId="615"/>
    <tableColumn id="9" xr3:uid="{2D25CB16-3726-43BC-AD11-DBB409734CAE}" name="Anzahl Behälter" totalsRowFunction="sum" dataDxfId="758" totalsRowDxfId="614"/>
    <tableColumn id="10" xr3:uid="{22CAE65C-DF3B-4FD5-A288-7EA16B93E7DE}" name="Gesamt-menge" totalsRowFunction="sum" dataDxfId="757" totalsRowDxfId="613">
      <calculatedColumnFormula>Tabelle2151422[[#This Row],[Menge/ Behälter]]*Tabelle2151422[[#This Row],[Anzahl Behälter]]</calculatedColumnFormula>
    </tableColumn>
    <tableColumn id="4" xr3:uid="{954F3277-EB22-4A5F-9428-F4CAEFC6C62B}" name="Menge/ Behälter1" dataDxfId="756" totalsRowDxfId="612"/>
    <tableColumn id="5" xr3:uid="{95557D1E-25DD-47D4-AE6C-3E8ABC576730}" name="Anzahl Behälter1" totalsRowFunction="sum" dataDxfId="755" totalsRowDxfId="611"/>
    <tableColumn id="6" xr3:uid="{B60973CF-2CDA-4528-93CE-6E89D5366F45}" name="Gesamt-menge1" totalsRowFunction="sum" dataDxfId="754" totalsRowDxfId="610">
      <calculatedColumnFormula>IF(Tabelle2151422[[#This Row],[Menge/ Behälter1]]="","",F4*G4)</calculatedColumnFormula>
    </tableColumn>
    <tableColumn id="7" xr3:uid="{2B605EF9-74D4-425B-A884-DD7B77F1A9FD}" name="Bemerkung" dataDxfId="753" totalsRowDxfId="609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DDF8D6-85D4-4AFE-836D-6EF09AC563D0}" name="Tabelle21514222" displayName="Tabelle21514222" ref="A3:I24" totalsRowCount="1" headerRowDxfId="704" dataDxfId="703" totalsRowDxfId="702" headerRowBorderDxfId="700" tableBorderDxfId="701" totalsRowBorderDxfId="699">
  <autoFilter ref="A3:I23" xr:uid="{8AEE785E-BA42-47AD-89F6-E619B4CC430E}"/>
  <tableColumns count="9">
    <tableColumn id="1" xr3:uid="{F791F295-F2D9-4D27-8A76-5E79819FF1F8}" name="Position" dataDxfId="698" totalsRowDxfId="689"/>
    <tableColumn id="2" xr3:uid="{4A908DDC-F0DE-4993-B9D7-A54284FB728B}" name="Sachnummer" dataDxfId="690" totalsRowDxfId="688"/>
    <tableColumn id="8" xr3:uid="{D4543A15-7703-4CDD-BF47-326BF9BD14B1}" name="Menge/ Behälter" dataDxfId="697" totalsRowDxfId="687"/>
    <tableColumn id="9" xr3:uid="{F8F1333B-1340-49BA-A9E5-C6AC8706E6B5}" name="Anzahl Behälter" totalsRowFunction="sum" dataDxfId="696" totalsRowDxfId="686"/>
    <tableColumn id="10" xr3:uid="{2A0E300A-E1CB-42D6-AEC9-0A1C17D8E8AF}" name="Gesamt-menge" totalsRowFunction="sum" dataDxfId="695" totalsRowDxfId="685">
      <calculatedColumnFormula>Tabelle21514222[[#This Row],[Menge/ Behälter]]*Tabelle21514222[[#This Row],[Anzahl Behälter]]</calculatedColumnFormula>
    </tableColumn>
    <tableColumn id="4" xr3:uid="{DC5750FD-54D8-448C-8AFF-987961393963}" name="Menge/ Behälter1" dataDxfId="694" totalsRowDxfId="684"/>
    <tableColumn id="5" xr3:uid="{DE5E77D7-CF94-40BA-A8C2-B9DC556F2052}" name="Anzahl Behälter1" totalsRowFunction="sum" dataDxfId="693" totalsRowDxfId="683"/>
    <tableColumn id="6" xr3:uid="{700B7DF8-F774-424F-8933-715D04853417}" name="Gesamt-menge1" totalsRowFunction="sum" dataDxfId="692" totalsRowDxfId="682">
      <calculatedColumnFormula>IF(Tabelle21514222[[#This Row],[Menge/ Behälter1]]="","",F4*G4)</calculatedColumnFormula>
    </tableColumn>
    <tableColumn id="7" xr3:uid="{E869E23A-841F-41DD-922F-72F0E31E1247}" name="Bemerkung" dataDxfId="691" totalsRowDxfId="681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1D1B6E-E88B-4FC4-9BDF-C2D556ECB9DB}" name="Tabelle215142223" displayName="Tabelle215142223" ref="A3:I24" totalsRowCount="1" headerRowDxfId="680" dataDxfId="679" totalsRowDxfId="678" headerRowBorderDxfId="676" tableBorderDxfId="677" totalsRowBorderDxfId="675">
  <autoFilter ref="A3:I23" xr:uid="{8AEE785E-BA42-47AD-89F6-E619B4CC430E}"/>
  <tableColumns count="9">
    <tableColumn id="1" xr3:uid="{7FAAD5BB-68BC-4629-9BDB-58875B9BA43E}" name="Position" dataDxfId="674" totalsRowDxfId="665"/>
    <tableColumn id="2" xr3:uid="{B6A4565C-8A30-4C3C-8A17-56A4909897E4}" name="Sachnummer" dataDxfId="673" totalsRowDxfId="664"/>
    <tableColumn id="8" xr3:uid="{22C43869-583D-452C-8BDF-34E51C6EE057}" name="Menge/ Behälter" dataDxfId="672" totalsRowDxfId="663"/>
    <tableColumn id="9" xr3:uid="{F20B6C01-CBCE-490B-AFEA-E10CEAE571F9}" name="Anzahl Behälter" totalsRowFunction="sum" dataDxfId="671" totalsRowDxfId="662"/>
    <tableColumn id="10" xr3:uid="{EF201A1C-B0FF-4077-A53D-5851B9AB8C98}" name="Gesamt-menge" totalsRowFunction="sum" dataDxfId="670" totalsRowDxfId="661">
      <calculatedColumnFormula>Tabelle215142223[[#This Row],[Menge/ Behälter]]*Tabelle215142223[[#This Row],[Anzahl Behälter]]</calculatedColumnFormula>
    </tableColumn>
    <tableColumn id="4" xr3:uid="{A9839086-6154-41A4-854F-A8056FBC39D8}" name="Menge/ Behälter1" dataDxfId="669" totalsRowDxfId="660"/>
    <tableColumn id="5" xr3:uid="{885F85D9-8783-4750-AAD8-406AA6E2B728}" name="Anzahl Behälter1" totalsRowFunction="sum" dataDxfId="668" totalsRowDxfId="659"/>
    <tableColumn id="6" xr3:uid="{4E66BFE1-B09C-4654-9C0E-C9AE62EAEA08}" name="Gesamt-menge1" totalsRowFunction="sum" dataDxfId="667" totalsRowDxfId="658">
      <calculatedColumnFormula>IF(Tabelle215142223[[#This Row],[Menge/ Behälter1]]="","",F4*G4)</calculatedColumnFormula>
    </tableColumn>
    <tableColumn id="7" xr3:uid="{F9FF0CA1-39EE-4763-B584-7F861F240AC3}" name="Bemerkung" dataDxfId="666" totalsRowDxfId="657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D348EC-C49E-42A1-97C8-0FBFA693418F}" name="Tabelle2151422234" displayName="Tabelle2151422234" ref="A3:I24" totalsRowCount="1" headerRowDxfId="656" dataDxfId="655" totalsRowDxfId="654" headerRowBorderDxfId="652" tableBorderDxfId="653" totalsRowBorderDxfId="651">
  <autoFilter ref="A3:I23" xr:uid="{8AEE785E-BA42-47AD-89F6-E619B4CC430E}"/>
  <tableColumns count="9">
    <tableColumn id="1" xr3:uid="{01EF740C-D1F5-4636-8DC1-6CD96FE20522}" name="Position" dataDxfId="650" totalsRowDxfId="641"/>
    <tableColumn id="2" xr3:uid="{A6879588-D706-4539-8901-63840A800BDD}" name="Sachnummer" dataDxfId="649" totalsRowDxfId="640"/>
    <tableColumn id="8" xr3:uid="{BA11F9AC-ABDC-4BD0-AAB1-7497C2778370}" name="Menge/ Behälter" dataDxfId="648" totalsRowDxfId="639"/>
    <tableColumn id="9" xr3:uid="{BCE60C14-74D1-4769-897E-19FA02582881}" name="Anzahl Behälter" totalsRowFunction="sum" dataDxfId="647" totalsRowDxfId="638"/>
    <tableColumn id="10" xr3:uid="{6B4C220C-929F-4141-925E-87463F80DF81}" name="Gesamt-menge" totalsRowFunction="sum" dataDxfId="646" totalsRowDxfId="637">
      <calculatedColumnFormula>Tabelle2151422234[[#This Row],[Menge/ Behälter]]*Tabelle2151422234[[#This Row],[Anzahl Behälter]]</calculatedColumnFormula>
    </tableColumn>
    <tableColumn id="4" xr3:uid="{7ADEFFB4-A75B-4D72-9A51-35CF565B14F5}" name="Menge/ Behälter1" dataDxfId="645" totalsRowDxfId="636"/>
    <tableColumn id="5" xr3:uid="{89354CB0-B138-44C7-88B6-1DE2B29ED5B9}" name="Anzahl Behälter1" totalsRowFunction="sum" dataDxfId="644" totalsRowDxfId="635"/>
    <tableColumn id="6" xr3:uid="{B3620567-58CF-4E14-A97B-CBD8FE507356}" name="Gesamt-menge1" totalsRowFunction="sum" dataDxfId="643" totalsRowDxfId="634">
      <calculatedColumnFormula>IF(Tabelle2151422234[[#This Row],[Menge/ Behälter1]]="","",F4*G4)</calculatedColumnFormula>
    </tableColumn>
    <tableColumn id="7" xr3:uid="{6C03F6B7-F83B-4DA6-9A71-597306B5FF1F}" name="Bemerkung" dataDxfId="642" totalsRowDxfId="633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B9AC82-87A3-46C0-9F17-3BA0D98B94A6}" name="Tabelle21514222345" displayName="Tabelle21514222345" ref="A3:I24" totalsRowCount="1" headerRowDxfId="632" dataDxfId="631" totalsRowDxfId="630" headerRowBorderDxfId="628" tableBorderDxfId="629" totalsRowBorderDxfId="627">
  <autoFilter ref="A3:I23" xr:uid="{8AEE785E-BA42-47AD-89F6-E619B4CC430E}"/>
  <tableColumns count="9">
    <tableColumn id="1" xr3:uid="{4677F2BA-8AE6-4A15-98DB-8CF3FC4F9593}" name="Position" dataDxfId="626" totalsRowDxfId="608"/>
    <tableColumn id="2" xr3:uid="{EA9F9A97-7CD7-4412-96B8-895E966417D9}" name="Sachnummer" dataDxfId="625" totalsRowDxfId="607"/>
    <tableColumn id="8" xr3:uid="{45A5C01B-3C05-40D2-B840-DD36573F1D88}" name="Menge/ Behälter" dataDxfId="624" totalsRowDxfId="606"/>
    <tableColumn id="9" xr3:uid="{EBD9550B-6DC6-49BD-B27E-88C345C6EF39}" name="Anzahl Behälter" totalsRowFunction="sum" dataDxfId="623" totalsRowDxfId="605"/>
    <tableColumn id="10" xr3:uid="{964A738F-2D3F-461A-9E93-92DF24CB6C37}" name="Gesamt-menge" totalsRowFunction="sum" dataDxfId="622" totalsRowDxfId="604">
      <calculatedColumnFormula>Tabelle21514222345[[#This Row],[Menge/ Behälter]]*Tabelle21514222345[[#This Row],[Anzahl Behälter]]</calculatedColumnFormula>
    </tableColumn>
    <tableColumn id="4" xr3:uid="{9FE4D871-ECC2-4258-8935-47D27B58940C}" name="Menge/ Behälter1" dataDxfId="621" totalsRowDxfId="603"/>
    <tableColumn id="5" xr3:uid="{63290413-BECF-4505-86A5-2DBA2485C92D}" name="Anzahl Behälter1" totalsRowFunction="sum" dataDxfId="620" totalsRowDxfId="602"/>
    <tableColumn id="6" xr3:uid="{754AA7DA-632B-457D-81BB-9485E0330464}" name="Gesamt-menge1" totalsRowFunction="sum" dataDxfId="619" totalsRowDxfId="601">
      <calculatedColumnFormula>IF(Tabelle21514222345[[#This Row],[Menge/ Behälter1]]="","",F4*G4)</calculatedColumnFormula>
    </tableColumn>
    <tableColumn id="7" xr3:uid="{57ED5B15-A7AB-425E-B4A0-43712B124F4B}" name="Bemerkung" dataDxfId="618" totalsRowDxfId="600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13BDAC-4EB2-4C04-ADA0-C34F6931F773}" name="Tabelle215142223456" displayName="Tabelle215142223456" ref="A3:I24" totalsRowCount="1" headerRowDxfId="599" dataDxfId="598" totalsRowDxfId="597" headerRowBorderDxfId="595" tableBorderDxfId="596" totalsRowBorderDxfId="594">
  <autoFilter ref="A3:I23" xr:uid="{8AEE785E-BA42-47AD-89F6-E619B4CC430E}"/>
  <tableColumns count="9">
    <tableColumn id="1" xr3:uid="{40E15A72-22C4-46CF-B677-EE80AC1F85E9}" name="Position" dataDxfId="593" totalsRowDxfId="584"/>
    <tableColumn id="2" xr3:uid="{64986A52-5A5F-4550-A468-9FEE30C19937}" name="Sachnummer" dataDxfId="592" totalsRowDxfId="583"/>
    <tableColumn id="8" xr3:uid="{10D4D33F-6C07-4393-9146-8B61FBEF75B8}" name="Menge/ Behälter" dataDxfId="591" totalsRowDxfId="582"/>
    <tableColumn id="9" xr3:uid="{334DDE0B-4993-4373-B314-A874193F836E}" name="Anzahl Behälter" totalsRowFunction="sum" dataDxfId="590" totalsRowDxfId="581"/>
    <tableColumn id="10" xr3:uid="{06904A54-9A06-4234-8799-DE95EF8C887A}" name="Gesamt-menge" totalsRowFunction="sum" dataDxfId="589" totalsRowDxfId="580">
      <calculatedColumnFormula>Tabelle215142223456[[#This Row],[Menge/ Behälter]]*Tabelle215142223456[[#This Row],[Anzahl Behälter]]</calculatedColumnFormula>
    </tableColumn>
    <tableColumn id="4" xr3:uid="{2236E62F-555E-4178-91DC-64C9C10A4724}" name="Menge/ Behälter1" dataDxfId="588" totalsRowDxfId="579"/>
    <tableColumn id="5" xr3:uid="{4F56ED9B-53A6-47D7-B611-9BFFF3CECEF9}" name="Anzahl Behälter1" totalsRowFunction="sum" dataDxfId="587" totalsRowDxfId="578"/>
    <tableColumn id="6" xr3:uid="{EA04BDD9-5F26-4930-89CC-F144BA57859E}" name="Gesamt-menge1" totalsRowFunction="sum" dataDxfId="586" totalsRowDxfId="577">
      <calculatedColumnFormula>IF(Tabelle215142223456[[#This Row],[Menge/ Behälter1]]="","",F4*G4)</calculatedColumnFormula>
    </tableColumn>
    <tableColumn id="7" xr3:uid="{9E384402-512C-4999-90F3-8DB4D655A0FF}" name="Bemerkung" dataDxfId="585" totalsRowDxfId="576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21906FB-D3D4-480E-B1DC-D6573EC0252D}" name="Tabelle2151422234567" displayName="Tabelle2151422234567" ref="A3:I24" totalsRowCount="1" headerRowDxfId="575" dataDxfId="574" totalsRowDxfId="573" headerRowBorderDxfId="571" tableBorderDxfId="572" totalsRowBorderDxfId="570">
  <autoFilter ref="A3:I23" xr:uid="{8AEE785E-BA42-47AD-89F6-E619B4CC430E}"/>
  <tableColumns count="9">
    <tableColumn id="1" xr3:uid="{FAC873DA-C952-4576-9A9C-DF14377D0DCF}" name="Position" dataDxfId="569" totalsRowDxfId="560"/>
    <tableColumn id="2" xr3:uid="{D9D9E4C4-1E9D-456A-B290-33E0EB7C306C}" name="Sachnummer" dataDxfId="568" totalsRowDxfId="559"/>
    <tableColumn id="8" xr3:uid="{663611D7-1E8A-486C-BE6E-091B40470006}" name="Menge/ Behälter" dataDxfId="567" totalsRowDxfId="558"/>
    <tableColumn id="9" xr3:uid="{DC821195-CA90-4A8A-97D4-81CAF2476AF1}" name="Anzahl Behälter" totalsRowFunction="sum" dataDxfId="566" totalsRowDxfId="557"/>
    <tableColumn id="10" xr3:uid="{E75C924B-7A6B-4761-AC27-0C0E30524591}" name="Gesamt-menge" totalsRowFunction="sum" dataDxfId="565" totalsRowDxfId="556">
      <calculatedColumnFormula>Tabelle2151422234567[[#This Row],[Menge/ Behälter]]*Tabelle2151422234567[[#This Row],[Anzahl Behälter]]</calculatedColumnFormula>
    </tableColumn>
    <tableColumn id="4" xr3:uid="{A2D73BF5-5C69-49FF-8B4A-3D038E6B442E}" name="Menge/ Behälter1" dataDxfId="564" totalsRowDxfId="555"/>
    <tableColumn id="5" xr3:uid="{794A320E-6BF5-4A4C-A271-AE7D0B27FB69}" name="Anzahl Behälter1" totalsRowFunction="sum" dataDxfId="563" totalsRowDxfId="554"/>
    <tableColumn id="6" xr3:uid="{E4B9DFC2-9C7D-4946-B581-1A6099C1F8DE}" name="Gesamt-menge1" totalsRowFunction="sum" dataDxfId="562" totalsRowDxfId="553">
      <calculatedColumnFormula>IF(Tabelle2151422234567[[#This Row],[Menge/ Behälter1]]="","",F4*G4)</calculatedColumnFormula>
    </tableColumn>
    <tableColumn id="7" xr3:uid="{DF9AED92-F881-4B9D-8A57-0212548B2F9A}" name="Bemerkung" dataDxfId="561" totalsRowDxfId="552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249B77-9D09-46F6-AD8C-F4B0E2032BE8}" name="Tabelle21514222345678" displayName="Tabelle21514222345678" ref="A3:I24" totalsRowCount="1" headerRowDxfId="551" dataDxfId="550" totalsRowDxfId="549" headerRowBorderDxfId="547" tableBorderDxfId="548" totalsRowBorderDxfId="546">
  <autoFilter ref="A3:I23" xr:uid="{8AEE785E-BA42-47AD-89F6-E619B4CC430E}"/>
  <tableColumns count="9">
    <tableColumn id="1" xr3:uid="{D06AF9AE-30CF-43DD-8F1C-004A27FEFD3F}" name="Position" dataDxfId="544" totalsRowDxfId="545"/>
    <tableColumn id="2" xr3:uid="{B2790C4E-0A08-4F2B-B673-EDF538A619FC}" name="Sachnummer" dataDxfId="542" totalsRowDxfId="543"/>
    <tableColumn id="8" xr3:uid="{333A3D88-F080-4210-B4F8-4EAF4F56A7CA}" name="Menge/ Behälter" dataDxfId="540" totalsRowDxfId="541"/>
    <tableColumn id="9" xr3:uid="{B3091E46-5444-4BB6-9A91-A670B3BB9138}" name="Anzahl Behälter" totalsRowFunction="sum" dataDxfId="538" totalsRowDxfId="539"/>
    <tableColumn id="10" xr3:uid="{C5553DDA-EA1D-46AF-8776-E14CD4D7FB7D}" name="Gesamt-menge" totalsRowFunction="sum" dataDxfId="536" totalsRowDxfId="537">
      <calculatedColumnFormula>Tabelle21514222345678[[#This Row],[Menge/ Behälter]]*Tabelle21514222345678[[#This Row],[Anzahl Behälter]]</calculatedColumnFormula>
    </tableColumn>
    <tableColumn id="4" xr3:uid="{FDE03606-6F45-4022-87F5-0A87C36E24C1}" name="Menge/ Behälter1" dataDxfId="534" totalsRowDxfId="535"/>
    <tableColumn id="5" xr3:uid="{17F5AB27-F0B4-45B6-A260-6C29FC4CB9A7}" name="Anzahl Behälter1" totalsRowFunction="sum" dataDxfId="532" totalsRowDxfId="533"/>
    <tableColumn id="6" xr3:uid="{898FF241-025B-4B4A-A31A-73ED4F116A12}" name="Gesamt-menge1" totalsRowFunction="sum" dataDxfId="530" totalsRowDxfId="531">
      <calculatedColumnFormula>IF(Tabelle21514222345678[[#This Row],[Menge/ Behälter1]]="","",F4*G4)</calculatedColumnFormula>
    </tableColumn>
    <tableColumn id="7" xr3:uid="{BDF17153-F18A-4E86-84F2-962D9F9E5DD9}" name="Bemerkung" dataDxfId="528" totalsRowDxfId="529"/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FBB16BE-B94D-4F6C-B61E-98B3F5A33DDB}" name="Tabelle215142223456789" displayName="Tabelle215142223456789" ref="A3:I24" totalsRowCount="1" headerRowDxfId="527" dataDxfId="526" totalsRowDxfId="525" headerRowBorderDxfId="523" tableBorderDxfId="524" totalsRowBorderDxfId="522">
  <autoFilter ref="A3:I23" xr:uid="{8AEE785E-BA42-47AD-89F6-E619B4CC430E}"/>
  <tableColumns count="9">
    <tableColumn id="1" xr3:uid="{A5D53797-29A3-44F1-880C-5F71B09247A6}" name="Position" dataDxfId="521" totalsRowDxfId="512"/>
    <tableColumn id="2" xr3:uid="{ADF7A733-3614-4F6A-B096-306A742A020D}" name="Sachnummer" dataDxfId="520" totalsRowDxfId="511"/>
    <tableColumn id="8" xr3:uid="{F98A1C36-6ED8-4326-AB7C-7F714EF074C0}" name="Menge/ Behälter" dataDxfId="519" totalsRowDxfId="510"/>
    <tableColumn id="9" xr3:uid="{A174F291-45C5-4D26-98A9-02DF7F6685D9}" name="Anzahl Behälter" totalsRowFunction="sum" dataDxfId="518" totalsRowDxfId="509"/>
    <tableColumn id="10" xr3:uid="{C3305A70-5391-4707-ABF6-6BDF7F8CCC5D}" name="Gesamt-menge" totalsRowFunction="sum" dataDxfId="517" totalsRowDxfId="508">
      <calculatedColumnFormula>Tabelle215142223456789[[#This Row],[Menge/ Behälter]]*Tabelle215142223456789[[#This Row],[Anzahl Behälter]]</calculatedColumnFormula>
    </tableColumn>
    <tableColumn id="4" xr3:uid="{7999F1D7-AC2B-40C9-BACF-E8A641B4CEBB}" name="Menge/ Behälter1" dataDxfId="516" totalsRowDxfId="507"/>
    <tableColumn id="5" xr3:uid="{89A25017-B988-4243-9CB8-BFAE1947313B}" name="Anzahl Behälter1" totalsRowFunction="sum" dataDxfId="515" totalsRowDxfId="506"/>
    <tableColumn id="6" xr3:uid="{CC6E8DCC-A1FF-424B-97FD-04DF59876C3C}" name="Gesamt-menge1" totalsRowFunction="sum" dataDxfId="514" totalsRowDxfId="505">
      <calculatedColumnFormula>IF(Tabelle215142223456789[[#This Row],[Menge/ Behälter1]]="","",F4*G4)</calculatedColumnFormula>
    </tableColumn>
    <tableColumn id="7" xr3:uid="{1D2728AE-C6B4-4626-85B7-3F2C66A83F6D}" name="Bemerkung" dataDxfId="513" totalsRowDxfId="504"/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68CB941-E9BF-42AF-A847-9FB520D58617}" name="Tabelle21514222345678910" displayName="Tabelle21514222345678910" ref="A3:I24" totalsRowCount="1" headerRowDxfId="503" dataDxfId="502" totalsRowDxfId="501" headerRowBorderDxfId="499" tableBorderDxfId="500" totalsRowBorderDxfId="498">
  <autoFilter ref="A3:I23" xr:uid="{8AEE785E-BA42-47AD-89F6-E619B4CC430E}"/>
  <tableColumns count="9">
    <tableColumn id="1" xr3:uid="{9D9A49C8-725C-446D-AC39-960544B29E70}" name="Position" dataDxfId="496" totalsRowDxfId="497"/>
    <tableColumn id="2" xr3:uid="{F0A37952-96B0-4907-B145-9DD9F2D9946B}" name="Sachnummer" dataDxfId="494" totalsRowDxfId="495"/>
    <tableColumn id="8" xr3:uid="{8E9742B6-4C8E-450A-859E-7D3535197104}" name="Menge/ Behälter" dataDxfId="492" totalsRowDxfId="493"/>
    <tableColumn id="9" xr3:uid="{2F0D1BCF-24A4-4282-996D-094C23C16F96}" name="Anzahl Behälter" totalsRowFunction="sum" dataDxfId="490" totalsRowDxfId="491"/>
    <tableColumn id="10" xr3:uid="{5AE567F8-2BB4-4002-BEA4-54A76EAB3CBA}" name="Gesamt-menge" totalsRowFunction="sum" dataDxfId="488" totalsRowDxfId="489">
      <calculatedColumnFormula>Tabelle21514222345678910[[#This Row],[Menge/ Behälter]]*Tabelle21514222345678910[[#This Row],[Anzahl Behälter]]</calculatedColumnFormula>
    </tableColumn>
    <tableColumn id="4" xr3:uid="{41B5E1DE-1CF6-439C-BB70-4FEE636BCEA8}" name="Menge/ Behälter1" dataDxfId="486" totalsRowDxfId="487"/>
    <tableColumn id="5" xr3:uid="{F0715088-8403-4AF3-8AA1-19DB34E329E4}" name="Anzahl Behälter1" totalsRowFunction="sum" dataDxfId="484" totalsRowDxfId="485"/>
    <tableColumn id="6" xr3:uid="{EB3D9745-3856-4990-9F36-BFEA8AB2CE4D}" name="Gesamt-menge1" totalsRowFunction="sum" dataDxfId="482" totalsRowDxfId="483">
      <calculatedColumnFormula>IF(Tabelle21514222345678910[[#This Row],[Menge/ Behälter1]]="","",F4*G4)</calculatedColumnFormula>
    </tableColumn>
    <tableColumn id="7" xr3:uid="{97E7EB2D-B74F-4C48-AA35-4739454C5242}" name="Bemerkung" dataDxfId="480" totalsRowDxfId="481"/>
  </tableColumns>
  <tableStyleInfo name="TableStyleMedium1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B35FBD6-5F98-4EBC-90AC-E92641E38106}" name="Tabelle2151422234567891011" displayName="Tabelle2151422234567891011" ref="A3:I24" totalsRowCount="1" headerRowDxfId="479" dataDxfId="478" totalsRowDxfId="477" headerRowBorderDxfId="475" tableBorderDxfId="476" totalsRowBorderDxfId="474">
  <autoFilter ref="A3:I23" xr:uid="{8AEE785E-BA42-47AD-89F6-E619B4CC430E}"/>
  <tableColumns count="9">
    <tableColumn id="1" xr3:uid="{E1220E03-E173-4173-B098-171A70258654}" name="Position" dataDxfId="473" totalsRowDxfId="464"/>
    <tableColumn id="2" xr3:uid="{E65064B4-0CC5-4F3F-A58A-1E6DB1A7920E}" name="Sachnummer" dataDxfId="472" totalsRowDxfId="463"/>
    <tableColumn id="8" xr3:uid="{4697509E-BBE5-4E1E-AACF-84DE58C3531B}" name="Menge/ Behälter" dataDxfId="471" totalsRowDxfId="462"/>
    <tableColumn id="9" xr3:uid="{057D54E2-F2AF-4BB3-AF86-6DD657908D23}" name="Anzahl Behälter" totalsRowFunction="sum" dataDxfId="470" totalsRowDxfId="461"/>
    <tableColumn id="10" xr3:uid="{DB2B7893-64DE-4342-958A-D78BA5DD1CBE}" name="Gesamt-menge" totalsRowFunction="sum" dataDxfId="469" totalsRowDxfId="460">
      <calculatedColumnFormula>Tabelle2151422234567891011[[#This Row],[Menge/ Behälter]]*Tabelle2151422234567891011[[#This Row],[Anzahl Behälter]]</calculatedColumnFormula>
    </tableColumn>
    <tableColumn id="4" xr3:uid="{5B7D86C7-2767-408B-A5D2-2C03F55ABA94}" name="Menge/ Behälter1" dataDxfId="468" totalsRowDxfId="459"/>
    <tableColumn id="5" xr3:uid="{D8DB66BA-CC8F-41FC-841E-BA65B2429DFE}" name="Anzahl Behälter1" totalsRowFunction="sum" dataDxfId="467" totalsRowDxfId="458"/>
    <tableColumn id="6" xr3:uid="{1280BFEE-E91C-4D81-9F8E-BF4E3A6F33C9}" name="Gesamt-menge1" totalsRowFunction="sum" dataDxfId="466" totalsRowDxfId="457">
      <calculatedColumnFormula>IF(Tabelle2151422234567891011[[#This Row],[Menge/ Behälter1]]="","",F4*G4)</calculatedColumnFormula>
    </tableColumn>
    <tableColumn id="7" xr3:uid="{618C15A4-670D-4524-83D6-7EB8D96C4DC1}" name="Bemerkung" dataDxfId="465" totalsRowDxfId="456"/>
  </tableColumns>
  <tableStyleInfo name="TableStyleMedium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1A39213-A207-4FF2-BE47-708B9215D801}" name="Tabelle215142223456789101112" displayName="Tabelle215142223456789101112" ref="A3:I24" totalsRowCount="1" headerRowDxfId="455" dataDxfId="454" totalsRowDxfId="453" headerRowBorderDxfId="451" tableBorderDxfId="452" totalsRowBorderDxfId="450">
  <autoFilter ref="A3:I23" xr:uid="{8AEE785E-BA42-47AD-89F6-E619B4CC430E}"/>
  <tableColumns count="9">
    <tableColumn id="1" xr3:uid="{165805F5-95C4-47C1-AB83-935A717BBD64}" name="Position" dataDxfId="449" totalsRowDxfId="440"/>
    <tableColumn id="2" xr3:uid="{1E3D5B12-0542-4952-A80D-D81ECDAE0988}" name="Sachnummer" dataDxfId="448" totalsRowDxfId="439"/>
    <tableColumn id="8" xr3:uid="{D02EB6F4-6872-49DA-84A0-ECDB8E90A86D}" name="Menge/ Behälter" dataDxfId="447" totalsRowDxfId="438"/>
    <tableColumn id="9" xr3:uid="{DBD31B74-3A48-4BAF-99A6-4FBB0EC354C3}" name="Anzahl Behälter" totalsRowFunction="sum" dataDxfId="446" totalsRowDxfId="437"/>
    <tableColumn id="10" xr3:uid="{0F6FA652-5F0A-4F86-9DF3-2CECF513A757}" name="Gesamt-menge" totalsRowFunction="sum" dataDxfId="445" totalsRowDxfId="436">
      <calculatedColumnFormula>Tabelle215142223456789101112[[#This Row],[Menge/ Behälter]]*Tabelle215142223456789101112[[#This Row],[Anzahl Behälter]]</calculatedColumnFormula>
    </tableColumn>
    <tableColumn id="4" xr3:uid="{0D8EE3FC-B422-4624-8D6B-BF473666379E}" name="Menge/ Behälter1" dataDxfId="444" totalsRowDxfId="435"/>
    <tableColumn id="5" xr3:uid="{7098DDE6-B990-4E8F-A8E0-56F50C2174B8}" name="Anzahl Behälter1" totalsRowFunction="sum" dataDxfId="443" totalsRowDxfId="434"/>
    <tableColumn id="6" xr3:uid="{629BE24D-ADD0-4485-BE4D-980BA989DECB}" name="Gesamt-menge1" totalsRowFunction="sum" dataDxfId="442" totalsRowDxfId="433">
      <calculatedColumnFormula>IF(Tabelle215142223456789101112[[#This Row],[Menge/ Behälter1]]="","",F4*G4)</calculatedColumnFormula>
    </tableColumn>
    <tableColumn id="7" xr3:uid="{0C852BD6-7E2C-4B88-BD42-8806EA57FE7F}" name="Bemerkung" dataDxfId="441" totalsRowDxfId="432"/>
  </tableColumns>
  <tableStyleInfo name="TableStyleMedium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44DA6BF-F2A2-454A-B25F-81F7A4048875}" name="Tabelle21514222345678910111213" displayName="Tabelle21514222345678910111213" ref="A3:I24" totalsRowCount="1" headerRowDxfId="431" dataDxfId="430" totalsRowDxfId="429" headerRowBorderDxfId="427" tableBorderDxfId="428" totalsRowBorderDxfId="426">
  <autoFilter ref="A3:I23" xr:uid="{8AEE785E-BA42-47AD-89F6-E619B4CC430E}"/>
  <tableColumns count="9">
    <tableColumn id="1" xr3:uid="{41C9F5D6-B1D8-4389-87B1-931946677A09}" name="Position" dataDxfId="425" totalsRowDxfId="416"/>
    <tableColumn id="2" xr3:uid="{CB8973FD-697E-4997-A6C9-8DE91008DD0E}" name="Sachnummer" dataDxfId="424" totalsRowDxfId="415"/>
    <tableColumn id="8" xr3:uid="{307640E9-308B-4943-B9D7-D8B2256C80E9}" name="Menge/ Behälter" dataDxfId="423" totalsRowDxfId="414"/>
    <tableColumn id="9" xr3:uid="{D7A77C61-C7A3-43D2-B82E-817DF10E406A}" name="Anzahl Behälter" totalsRowFunction="sum" dataDxfId="422" totalsRowDxfId="413"/>
    <tableColumn id="10" xr3:uid="{F4333B25-1754-4D1C-B7E1-CEFCAFECB63D}" name="Gesamt-menge" totalsRowFunction="sum" dataDxfId="421" totalsRowDxfId="412">
      <calculatedColumnFormula>Tabelle21514222345678910111213[[#This Row],[Menge/ Behälter]]*Tabelle21514222345678910111213[[#This Row],[Anzahl Behälter]]</calculatedColumnFormula>
    </tableColumn>
    <tableColumn id="4" xr3:uid="{369CEA4E-E661-47D8-ACDC-59E7C0C3CE41}" name="Menge/ Behälter1" dataDxfId="420" totalsRowDxfId="411"/>
    <tableColumn id="5" xr3:uid="{61693BF1-D85D-4DE7-BA8F-D45081C11C11}" name="Anzahl Behälter1" totalsRowFunction="sum" dataDxfId="419" totalsRowDxfId="410"/>
    <tableColumn id="6" xr3:uid="{536B4ED7-FF25-428D-8500-45F5A0146D3D}" name="Gesamt-menge1" totalsRowFunction="sum" dataDxfId="418" totalsRowDxfId="409">
      <calculatedColumnFormula>IF(Tabelle21514222345678910111213[[#This Row],[Menge/ Behälter1]]="","",F4*G4)</calculatedColumnFormula>
    </tableColumn>
    <tableColumn id="7" xr3:uid="{CEB462E6-A488-4884-BEB3-771A921A436E}" name="Bemerkung" dataDxfId="417" totalsRowDxfId="408"/>
  </tableColumns>
  <tableStyleInfo name="TableStyleMedium1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A7EE11A-E5A2-4F6E-AE4D-B07F291DF1AF}" name="Tabelle2151422234567891011121314" displayName="Tabelle2151422234567891011121314" ref="A3:I24" totalsRowCount="1" headerRowDxfId="407" dataDxfId="406" totalsRowDxfId="405" headerRowBorderDxfId="403" tableBorderDxfId="404" totalsRowBorderDxfId="402">
  <autoFilter ref="A3:I23" xr:uid="{8AEE785E-BA42-47AD-89F6-E619B4CC430E}"/>
  <tableColumns count="9">
    <tableColumn id="1" xr3:uid="{6F3A5108-F7BA-4C3F-820A-D1C4F0AF43F8}" name="Position" dataDxfId="401" totalsRowDxfId="392"/>
    <tableColumn id="2" xr3:uid="{9E555DFE-5D09-4CAA-B863-B71DD71AF5C8}" name="Sachnummer" dataDxfId="400" totalsRowDxfId="391"/>
    <tableColumn id="8" xr3:uid="{D9A617D5-2126-4DEA-9753-E9AA92F16892}" name="Menge/ Behälter" dataDxfId="399" totalsRowDxfId="390"/>
    <tableColumn id="9" xr3:uid="{9FDD907A-DE19-4B39-A11A-DDD840528DA7}" name="Anzahl Behälter" totalsRowFunction="sum" dataDxfId="398" totalsRowDxfId="389"/>
    <tableColumn id="10" xr3:uid="{274C988F-05E8-44B7-90CB-270A0A4459AA}" name="Gesamt-menge" totalsRowFunction="sum" dataDxfId="397" totalsRowDxfId="388">
      <calculatedColumnFormula>Tabelle2151422234567891011121314[[#This Row],[Menge/ Behälter]]*Tabelle2151422234567891011121314[[#This Row],[Anzahl Behälter]]</calculatedColumnFormula>
    </tableColumn>
    <tableColumn id="4" xr3:uid="{CC312AE4-72A1-4720-BD89-B003AAEAB2C1}" name="Menge/ Behälter1" dataDxfId="396" totalsRowDxfId="387"/>
    <tableColumn id="5" xr3:uid="{7480B654-6F9A-49D8-A89D-BAB25FB8AF0F}" name="Anzahl Behälter1" totalsRowFunction="sum" dataDxfId="395" totalsRowDxfId="386"/>
    <tableColumn id="6" xr3:uid="{CC791942-9A96-41CF-AE47-3CA53371B420}" name="Gesamt-menge1" totalsRowFunction="sum" dataDxfId="394" totalsRowDxfId="385">
      <calculatedColumnFormula>IF(Tabelle2151422234567891011121314[[#This Row],[Menge/ Behälter1]]="","",F4*G4)</calculatedColumnFormula>
    </tableColumn>
    <tableColumn id="7" xr3:uid="{836892EA-2542-4CE1-9B18-07846D7D9471}" name="Bemerkung" dataDxfId="393" totalsRowDxfId="384"/>
  </tableColumns>
  <tableStyleInfo name="TableStyleMedium1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9DFF51B-82D9-45F0-8799-2F8EA3D132FE}" name="Tabelle215142223456789101112131415" displayName="Tabelle215142223456789101112131415" ref="A3:I24" totalsRowCount="1" headerRowDxfId="383" dataDxfId="382" totalsRowDxfId="381" headerRowBorderDxfId="379" tableBorderDxfId="380" totalsRowBorderDxfId="378">
  <autoFilter ref="A3:I23" xr:uid="{8AEE785E-BA42-47AD-89F6-E619B4CC430E}"/>
  <tableColumns count="9">
    <tableColumn id="1" xr3:uid="{3A533AF8-9A9C-4044-855A-33AF01E26CE8}" name="Position" dataDxfId="377" totalsRowDxfId="368"/>
    <tableColumn id="2" xr3:uid="{D2A96828-4ADF-4C67-B353-2F6242BAB289}" name="Sachnummer" dataDxfId="376" totalsRowDxfId="367"/>
    <tableColumn id="8" xr3:uid="{C1EBE2B0-7907-43D0-85BC-D8F85E0ACC23}" name="Menge/ Behälter" dataDxfId="375" totalsRowDxfId="366"/>
    <tableColumn id="9" xr3:uid="{36D61080-06BC-4BF4-B7C4-8FA573508BD0}" name="Anzahl Behälter" totalsRowFunction="sum" dataDxfId="374" totalsRowDxfId="365"/>
    <tableColumn id="10" xr3:uid="{0D9256D8-2F56-4486-942A-77A14B2ED89A}" name="Gesamt-menge" totalsRowFunction="sum" dataDxfId="373" totalsRowDxfId="364">
      <calculatedColumnFormula>Tabelle215142223456789101112131415[[#This Row],[Menge/ Behälter]]*Tabelle215142223456789101112131415[[#This Row],[Anzahl Behälter]]</calculatedColumnFormula>
    </tableColumn>
    <tableColumn id="4" xr3:uid="{9643D0CD-C9E6-4FD5-AF4B-E755B0A189E9}" name="Menge/ Behälter1" dataDxfId="372" totalsRowDxfId="363"/>
    <tableColumn id="5" xr3:uid="{6245E39B-6634-4A2D-8DEC-63643EA4F67F}" name="Anzahl Behälter1" totalsRowFunction="sum" dataDxfId="371" totalsRowDxfId="362"/>
    <tableColumn id="6" xr3:uid="{83A9AC0E-78A3-465A-AEEF-BC0C1393C5ED}" name="Gesamt-menge1" totalsRowFunction="sum" dataDxfId="370" totalsRowDxfId="361">
      <calculatedColumnFormula>IF(Tabelle215142223456789101112131415[[#This Row],[Menge/ Behälter1]]="","",F4*G4)</calculatedColumnFormula>
    </tableColumn>
    <tableColumn id="7" xr3:uid="{052402EA-09A8-447E-9D54-0B63131E0CC7}" name="Bemerkung" dataDxfId="369" totalsRowDxfId="360"/>
  </tableColumns>
  <tableStyleInfo name="TableStyleMedium1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D0051F2-8B9C-40F9-80AA-5907F2C501B0}" name="Tabelle21514222345678910111213141516" displayName="Tabelle21514222345678910111213141516" ref="A3:I24" totalsRowCount="1" headerRowDxfId="359" dataDxfId="358" totalsRowDxfId="357" headerRowBorderDxfId="355" tableBorderDxfId="356" totalsRowBorderDxfId="354">
  <autoFilter ref="A3:I23" xr:uid="{8AEE785E-BA42-47AD-89F6-E619B4CC430E}"/>
  <tableColumns count="9">
    <tableColumn id="1" xr3:uid="{24ED40A2-76DC-4DD3-A7CC-767E1CE779F9}" name="Position" dataDxfId="353" totalsRowDxfId="344"/>
    <tableColumn id="2" xr3:uid="{FC222170-B765-4E23-9A20-CCB8FBF62975}" name="Sachnummer" dataDxfId="352" totalsRowDxfId="343"/>
    <tableColumn id="8" xr3:uid="{C021F57E-8B3F-497F-BEEE-BAEC7703204E}" name="Menge/ Behälter" dataDxfId="351" totalsRowDxfId="342"/>
    <tableColumn id="9" xr3:uid="{4067DBA6-37A0-4A94-8D34-13E88757A101}" name="Anzahl Behälter" totalsRowFunction="sum" dataDxfId="350" totalsRowDxfId="341"/>
    <tableColumn id="10" xr3:uid="{89944A44-1BC3-4D44-BD29-CB98DD548D9E}" name="Gesamt-menge" totalsRowFunction="sum" dataDxfId="349" totalsRowDxfId="340">
      <calculatedColumnFormula>Tabelle21514222345678910111213141516[[#This Row],[Menge/ Behälter]]*Tabelle21514222345678910111213141516[[#This Row],[Anzahl Behälter]]</calculatedColumnFormula>
    </tableColumn>
    <tableColumn id="4" xr3:uid="{6D6D4EEF-091B-4930-8B38-82A15D5676BE}" name="Menge/ Behälter1" dataDxfId="348" totalsRowDxfId="339"/>
    <tableColumn id="5" xr3:uid="{D1C00FD1-78DB-4769-A313-138CBA268D2F}" name="Anzahl Behälter1" totalsRowFunction="sum" dataDxfId="347" totalsRowDxfId="338"/>
    <tableColumn id="6" xr3:uid="{BCD70858-1EFF-40F8-9629-94BE3772E39E}" name="Gesamt-menge1" totalsRowFunction="sum" dataDxfId="346" totalsRowDxfId="337">
      <calculatedColumnFormula>IF(Tabelle21514222345678910111213141516[[#This Row],[Menge/ Behälter1]]="","",F4*G4)</calculatedColumnFormula>
    </tableColumn>
    <tableColumn id="7" xr3:uid="{AB6EA9C0-5EAB-47BB-B7A9-79B2EE6D5D92}" name="Bemerkung" dataDxfId="345" totalsRowDxfId="336"/>
  </tableColumns>
  <tableStyleInfo name="TableStyleMedium16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497FC6C-D2C5-4D0E-B769-ECE2C51FDA13}" name="Tabelle2151422234567891011121314151617" displayName="Tabelle2151422234567891011121314151617" ref="A3:I24" totalsRowCount="1" headerRowDxfId="335" dataDxfId="334" totalsRowDxfId="333" headerRowBorderDxfId="331" tableBorderDxfId="332" totalsRowBorderDxfId="330">
  <autoFilter ref="A3:I23" xr:uid="{8AEE785E-BA42-47AD-89F6-E619B4CC430E}"/>
  <tableColumns count="9">
    <tableColumn id="1" xr3:uid="{A8657DFD-A355-4A6A-AEAB-4F526C82CAC6}" name="Position" dataDxfId="329" totalsRowDxfId="320"/>
    <tableColumn id="2" xr3:uid="{A2DC30BA-C169-479C-B92B-7EC9D3A04AC4}" name="Sachnummer" dataDxfId="328" totalsRowDxfId="319"/>
    <tableColumn id="8" xr3:uid="{21E4F576-6F80-439B-9D58-503D0DBA65E9}" name="Menge/ Behälter" dataDxfId="327" totalsRowDxfId="318"/>
    <tableColumn id="9" xr3:uid="{F43A8646-AB81-41EE-81A7-4125A3E5DE09}" name="Anzahl Behälter" totalsRowFunction="sum" dataDxfId="326" totalsRowDxfId="317"/>
    <tableColumn id="10" xr3:uid="{EB7E061E-DC3B-4691-9ED7-E57AB31680C5}" name="Gesamt-menge" totalsRowFunction="sum" dataDxfId="325" totalsRowDxfId="316">
      <calculatedColumnFormula>Tabelle2151422234567891011121314151617[[#This Row],[Menge/ Behälter]]*Tabelle2151422234567891011121314151617[[#This Row],[Anzahl Behälter]]</calculatedColumnFormula>
    </tableColumn>
    <tableColumn id="4" xr3:uid="{7476A5F8-8468-41A3-8168-4A5CF89823C0}" name="Menge/ Behälter1" dataDxfId="324" totalsRowDxfId="315"/>
    <tableColumn id="5" xr3:uid="{9794F798-B78A-4771-A160-38B876AE689A}" name="Anzahl Behälter1" totalsRowFunction="sum" dataDxfId="323" totalsRowDxfId="314"/>
    <tableColumn id="6" xr3:uid="{D52A6220-B2C0-4200-AA2B-86380CF9D0B0}" name="Gesamt-menge1" totalsRowFunction="sum" dataDxfId="322" totalsRowDxfId="313">
      <calculatedColumnFormula>IF(Tabelle2151422234567891011121314151617[[#This Row],[Menge/ Behälter1]]="","",F4*G4)</calculatedColumnFormula>
    </tableColumn>
    <tableColumn id="7" xr3:uid="{DDBC9FDD-5A2A-4B4B-8D9D-9E35BC5A800C}" name="Bemerkung" dataDxfId="321" totalsRowDxfId="312"/>
  </tableColumns>
  <tableStyleInfo name="TableStyleMedium1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92CCF2-EF2A-4490-877A-2CA8F448E3F3}" name="Tabelle215142223456789101112131415161718" displayName="Tabelle215142223456789101112131415161718" ref="A3:I24" totalsRowCount="1" headerRowDxfId="311" dataDxfId="310" totalsRowDxfId="309" headerRowBorderDxfId="307" tableBorderDxfId="308" totalsRowBorderDxfId="306">
  <autoFilter ref="A3:I23" xr:uid="{8AEE785E-BA42-47AD-89F6-E619B4CC430E}"/>
  <tableColumns count="9">
    <tableColumn id="1" xr3:uid="{BD686953-592B-4D0F-ACF7-6455155D04BD}" name="Position" dataDxfId="305" totalsRowDxfId="296"/>
    <tableColumn id="2" xr3:uid="{53107BC9-0DDD-4153-9B1F-6E49BB8068AE}" name="Sachnummer" dataDxfId="304" totalsRowDxfId="295"/>
    <tableColumn id="8" xr3:uid="{77639682-600E-475D-B5A4-A1032219E8E6}" name="Menge/ Behälter" dataDxfId="303" totalsRowDxfId="294"/>
    <tableColumn id="9" xr3:uid="{0F8A20BA-DB1B-4DF4-8C5F-1803906F6D99}" name="Anzahl Behälter" totalsRowFunction="sum" dataDxfId="302" totalsRowDxfId="293"/>
    <tableColumn id="10" xr3:uid="{9978B414-58F1-4E07-B500-11376F0C132C}" name="Gesamt-menge" totalsRowFunction="sum" dataDxfId="301" totalsRowDxfId="292">
      <calculatedColumnFormula>Tabelle215142223456789101112131415161718[[#This Row],[Menge/ Behälter]]*Tabelle215142223456789101112131415161718[[#This Row],[Anzahl Behälter]]</calculatedColumnFormula>
    </tableColumn>
    <tableColumn id="4" xr3:uid="{70AD8E45-C3A5-4D78-90D5-D7024E608138}" name="Menge/ Behälter1" dataDxfId="300" totalsRowDxfId="291"/>
    <tableColumn id="5" xr3:uid="{99C89C24-3A5B-480E-AB32-9C525AB75CAB}" name="Anzahl Behälter1" totalsRowFunction="sum" dataDxfId="299" totalsRowDxfId="290"/>
    <tableColumn id="6" xr3:uid="{BE1FCCA7-7E94-49C8-9BED-BC035CA0EBA5}" name="Gesamt-menge1" totalsRowFunction="sum" dataDxfId="298" totalsRowDxfId="289">
      <calculatedColumnFormula>IF(Tabelle215142223456789101112131415161718[[#This Row],[Menge/ Behälter1]]="","",F4*G4)</calculatedColumnFormula>
    </tableColumn>
    <tableColumn id="7" xr3:uid="{383EEFC6-8705-418C-83C7-91C8B3D9BC9E}" name="Bemerkung" dataDxfId="297" totalsRowDxfId="288"/>
  </tableColumns>
  <tableStyleInfo name="TableStyleMedium1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507FACC-A402-4183-8DBE-D02701B20338}" name="Tabelle21514222345678910111213141516171819" displayName="Tabelle21514222345678910111213141516171819" ref="A3:I24" totalsRowCount="1" headerRowDxfId="287" dataDxfId="286" totalsRowDxfId="285" headerRowBorderDxfId="283" tableBorderDxfId="284" totalsRowBorderDxfId="282">
  <autoFilter ref="A3:I23" xr:uid="{8AEE785E-BA42-47AD-89F6-E619B4CC430E}"/>
  <tableColumns count="9">
    <tableColumn id="1" xr3:uid="{83AAB40F-0300-4444-B9DF-1F1B7BA20273}" name="Position" dataDxfId="281" totalsRowDxfId="272"/>
    <tableColumn id="2" xr3:uid="{AB4ADA7D-8E39-4B94-8F09-AFEFAB3F9AE7}" name="Sachnummer" dataDxfId="280" totalsRowDxfId="271"/>
    <tableColumn id="8" xr3:uid="{58924616-8B2F-4A0B-85E9-1EBAF441D42A}" name="Menge/ Behälter" dataDxfId="279" totalsRowDxfId="270"/>
    <tableColumn id="9" xr3:uid="{D09417D3-6822-447C-9B60-82EA4D8FA256}" name="Anzahl Behälter" totalsRowFunction="sum" dataDxfId="278" totalsRowDxfId="269"/>
    <tableColumn id="10" xr3:uid="{02DA29EF-5692-4266-A09F-6E9B74073AC1}" name="Gesamt-menge" totalsRowFunction="sum" dataDxfId="277" totalsRowDxfId="268">
      <calculatedColumnFormula>Tabelle21514222345678910111213141516171819[[#This Row],[Menge/ Behälter]]*Tabelle21514222345678910111213141516171819[[#This Row],[Anzahl Behälter]]</calculatedColumnFormula>
    </tableColumn>
    <tableColumn id="4" xr3:uid="{C097A593-ABA0-4866-8DDF-3427DC01BB0C}" name="Menge/ Behälter1" dataDxfId="276" totalsRowDxfId="267"/>
    <tableColumn id="5" xr3:uid="{480459DA-565B-4555-8B39-C68BEA028F5A}" name="Anzahl Behälter1" totalsRowFunction="sum" dataDxfId="275" totalsRowDxfId="266"/>
    <tableColumn id="6" xr3:uid="{2172D169-F2AC-41C3-BFD6-1FA559692FD7}" name="Gesamt-menge1" totalsRowFunction="sum" dataDxfId="274" totalsRowDxfId="265">
      <calculatedColumnFormula>IF(Tabelle21514222345678910111213141516171819[[#This Row],[Menge/ Behälter1]]="","",F4*G4)</calculatedColumnFormula>
    </tableColumn>
    <tableColumn id="7" xr3:uid="{F54D2FFC-DEF9-4F5B-956E-180CF0520F33}" name="Bemerkung" dataDxfId="273" totalsRowDxfId="264"/>
  </tableColumns>
  <tableStyleInfo name="TableStyleMedium1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15498F7-42EA-4734-ABEB-4EB0771F36B8}" name="Tabelle2151422234567891011121314151617181920" displayName="Tabelle2151422234567891011121314151617181920" ref="A3:I24" totalsRowCount="1" headerRowDxfId="263" dataDxfId="262" totalsRowDxfId="261" headerRowBorderDxfId="259" tableBorderDxfId="260" totalsRowBorderDxfId="258">
  <autoFilter ref="A3:I23" xr:uid="{8AEE785E-BA42-47AD-89F6-E619B4CC430E}"/>
  <tableColumns count="9">
    <tableColumn id="1" xr3:uid="{18B70DC1-5FF5-451E-ADAF-79E2D9D282F9}" name="Position" dataDxfId="257" totalsRowDxfId="248"/>
    <tableColumn id="2" xr3:uid="{44F60838-5FDE-4142-BE22-EFC4C55A2B05}" name="Sachnummer" dataDxfId="256" totalsRowDxfId="247"/>
    <tableColumn id="8" xr3:uid="{3CA664E8-4FD3-4D8D-BDEA-A1DA97DBF431}" name="Menge/ Behälter" dataDxfId="255" totalsRowDxfId="246"/>
    <tableColumn id="9" xr3:uid="{DF8AB1D1-E669-4BF0-B611-2B7B94FABA56}" name="Anzahl Behälter" totalsRowFunction="sum" dataDxfId="254" totalsRowDxfId="245"/>
    <tableColumn id="10" xr3:uid="{FFAD3A99-5AF0-49D2-992D-BE166A7DE424}" name="Gesamt-menge" totalsRowFunction="sum" dataDxfId="253" totalsRowDxfId="244">
      <calculatedColumnFormula>Tabelle2151422234567891011121314151617181920[[#This Row],[Menge/ Behälter]]*Tabelle2151422234567891011121314151617181920[[#This Row],[Anzahl Behälter]]</calculatedColumnFormula>
    </tableColumn>
    <tableColumn id="4" xr3:uid="{CC8434AC-0467-4080-8ABA-F6C781AA1E2F}" name="Menge/ Behälter1" dataDxfId="252" totalsRowDxfId="243"/>
    <tableColumn id="5" xr3:uid="{144B1B28-0459-44A8-A341-8D2B09AB9099}" name="Anzahl Behälter1" totalsRowFunction="sum" dataDxfId="251" totalsRowDxfId="242"/>
    <tableColumn id="6" xr3:uid="{79B231D5-852A-41B9-BEDD-1865AF2A74DB}" name="Gesamt-menge1" totalsRowFunction="sum" dataDxfId="250" totalsRowDxfId="241">
      <calculatedColumnFormula>IF(Tabelle2151422234567891011121314151617181920[[#This Row],[Menge/ Behälter1]]="","",F4*G4)</calculatedColumnFormula>
    </tableColumn>
    <tableColumn id="7" xr3:uid="{18CDFED3-0C86-4C50-8B1B-F2E9DE51A95B}" name="Bemerkung" dataDxfId="249" totalsRowDxfId="240"/>
  </tableColumns>
  <tableStyleInfo name="TableStyleMedium16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20F1E35-A1FF-4E62-A3D3-845C60D74537}" name="Tabelle215142223456789101112131415161718192021" displayName="Tabelle215142223456789101112131415161718192021" ref="A3:I24" totalsRowCount="1" headerRowDxfId="239" dataDxfId="238" totalsRowDxfId="237" headerRowBorderDxfId="235" tableBorderDxfId="236" totalsRowBorderDxfId="234">
  <autoFilter ref="A3:I23" xr:uid="{8AEE785E-BA42-47AD-89F6-E619B4CC430E}"/>
  <tableColumns count="9">
    <tableColumn id="1" xr3:uid="{1CD9A0B8-337B-478E-B1E3-7BFA58FED26F}" name="Position" dataDxfId="233" totalsRowDxfId="224"/>
    <tableColumn id="2" xr3:uid="{37961B91-39E9-4352-92F2-AC3E6184FDBF}" name="Sachnummer" dataDxfId="232" totalsRowDxfId="223"/>
    <tableColumn id="8" xr3:uid="{22736631-0D44-4618-8F84-B2C84CA49C09}" name="Menge/ Behälter" dataDxfId="231" totalsRowDxfId="222"/>
    <tableColumn id="9" xr3:uid="{A97F5102-974A-4FCE-BFF3-BBC18E2BF9A9}" name="Anzahl Behälter" totalsRowFunction="sum" dataDxfId="230" totalsRowDxfId="221"/>
    <tableColumn id="10" xr3:uid="{88275743-C332-4480-9085-216410E40BD9}" name="Gesamt-menge" totalsRowFunction="sum" dataDxfId="229" totalsRowDxfId="220">
      <calculatedColumnFormula>Tabelle215142223456789101112131415161718192021[[#This Row],[Menge/ Behälter]]*Tabelle215142223456789101112131415161718192021[[#This Row],[Anzahl Behälter]]</calculatedColumnFormula>
    </tableColumn>
    <tableColumn id="4" xr3:uid="{D66F887C-C816-4F9E-8968-7D74202E9711}" name="Menge/ Behälter1" dataDxfId="228" totalsRowDxfId="219"/>
    <tableColumn id="5" xr3:uid="{96D1D1F0-05CA-409D-B650-A037BD6CBCAB}" name="Anzahl Behälter1" totalsRowFunction="sum" dataDxfId="227" totalsRowDxfId="218"/>
    <tableColumn id="6" xr3:uid="{32FE4F51-252D-4BD7-A1C0-6B02F35749C6}" name="Gesamt-menge1" totalsRowFunction="sum" dataDxfId="226" totalsRowDxfId="217">
      <calculatedColumnFormula>IF(Tabelle215142223456789101112131415161718192021[[#This Row],[Menge/ Behälter1]]="","",F4*G4)</calculatedColumnFormula>
    </tableColumn>
    <tableColumn id="7" xr3:uid="{AEDFE3AC-EA63-4BDB-81E8-80CADBF3CDE7}" name="Bemerkung" dataDxfId="225" totalsRowDxfId="216"/>
  </tableColumns>
  <tableStyleInfo name="TableStyleMedium16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93C618D-72DA-426A-B148-E11C5E6C8364}" name="Tabelle21514222345678910111213141516171819202123" displayName="Tabelle21514222345678910111213141516171819202123" ref="A3:I24" totalsRowCount="1" headerRowDxfId="215" dataDxfId="214" totalsRowDxfId="213" headerRowBorderDxfId="211" tableBorderDxfId="212" totalsRowBorderDxfId="210">
  <autoFilter ref="A3:I23" xr:uid="{8AEE785E-BA42-47AD-89F6-E619B4CC430E}"/>
  <tableColumns count="9">
    <tableColumn id="1" xr3:uid="{E91062F0-299C-428C-85AC-07AE7C2B0F30}" name="Position" dataDxfId="209" totalsRowDxfId="200"/>
    <tableColumn id="2" xr3:uid="{38E28E37-2212-4FDB-A599-AC145F6A3364}" name="Sachnummer" dataDxfId="208" totalsRowDxfId="199"/>
    <tableColumn id="8" xr3:uid="{D30F5795-7D4D-4E33-A8EF-BF6D2FD5C1F9}" name="Menge/ Behälter" dataDxfId="207" totalsRowDxfId="198"/>
    <tableColumn id="9" xr3:uid="{2E1C5D06-5AED-4DBE-96C7-97E1DF4E57F2}" name="Anzahl Behälter" totalsRowFunction="sum" dataDxfId="206" totalsRowDxfId="197"/>
    <tableColumn id="10" xr3:uid="{9CAAAC42-CC6F-4529-8E12-A5A869F7A54E}" name="Gesamt-menge" totalsRowFunction="sum" dataDxfId="205" totalsRowDxfId="196">
      <calculatedColumnFormula>Tabelle21514222345678910111213141516171819202123[[#This Row],[Menge/ Behälter]]*Tabelle21514222345678910111213141516171819202123[[#This Row],[Anzahl Behälter]]</calculatedColumnFormula>
    </tableColumn>
    <tableColumn id="4" xr3:uid="{B569B720-D104-4DA7-98D7-7D683418FB9A}" name="Menge/ Behälter1" dataDxfId="204" totalsRowDxfId="195"/>
    <tableColumn id="5" xr3:uid="{A22EA097-4A69-4C2F-BB42-3F79EADF4EF2}" name="Anzahl Behälter1" totalsRowFunction="sum" dataDxfId="203" totalsRowDxfId="194"/>
    <tableColumn id="6" xr3:uid="{1BCD0A71-57BE-4CDA-8CB4-C618408AE79B}" name="Gesamt-menge1" totalsRowFunction="sum" dataDxfId="202" totalsRowDxfId="193">
      <calculatedColumnFormula>IF(Tabelle21514222345678910111213141516171819202123[[#This Row],[Menge/ Behälter1]]="","",F4*G4)</calculatedColumnFormula>
    </tableColumn>
    <tableColumn id="7" xr3:uid="{96E5E039-A652-4DB8-9242-9341E5C93C97}" name="Bemerkung" dataDxfId="201" totalsRowDxfId="192"/>
  </tableColumns>
  <tableStyleInfo name="TableStyleMedium16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4667A16-789C-4415-9462-328575BCA18E}" name="Tabelle2151422234567891011121314151617181920212324" displayName="Tabelle2151422234567891011121314151617181920212324" ref="A3:I24" totalsRowCount="1" headerRowDxfId="191" dataDxfId="190" totalsRowDxfId="189" headerRowBorderDxfId="187" tableBorderDxfId="188" totalsRowBorderDxfId="186">
  <autoFilter ref="A3:I23" xr:uid="{8AEE785E-BA42-47AD-89F6-E619B4CC430E}"/>
  <tableColumns count="9">
    <tableColumn id="1" xr3:uid="{24CFC56F-F3F1-4C27-B14D-0A461CFA9515}" name="Position" dataDxfId="185" totalsRowDxfId="176"/>
    <tableColumn id="2" xr3:uid="{79D5E998-BBF7-4FE3-BA2C-FAB41AFE8340}" name="Sachnummer" dataDxfId="184" totalsRowDxfId="175"/>
    <tableColumn id="8" xr3:uid="{54B16FE3-11F1-44D2-8E8D-D6DE1F827101}" name="Menge/ Behälter" dataDxfId="183" totalsRowDxfId="174"/>
    <tableColumn id="9" xr3:uid="{E09CACDB-E677-42A0-97B9-39D693C4DBA9}" name="Anzahl Behälter" totalsRowFunction="sum" dataDxfId="182" totalsRowDxfId="173"/>
    <tableColumn id="10" xr3:uid="{253931BF-F01E-473B-B804-7F749729415C}" name="Gesamt-menge" totalsRowFunction="sum" dataDxfId="181" totalsRowDxfId="172">
      <calculatedColumnFormula>Tabelle2151422234567891011121314151617181920212324[[#This Row],[Menge/ Behälter]]*Tabelle2151422234567891011121314151617181920212324[[#This Row],[Anzahl Behälter]]</calculatedColumnFormula>
    </tableColumn>
    <tableColumn id="4" xr3:uid="{A3735830-1F58-4F82-B178-37E434E4FC78}" name="Menge/ Behälter1" dataDxfId="180" totalsRowDxfId="171"/>
    <tableColumn id="5" xr3:uid="{60837777-9AF0-424E-9A58-426DA21C74D7}" name="Anzahl Behälter1" totalsRowFunction="sum" dataDxfId="179" totalsRowDxfId="170"/>
    <tableColumn id="6" xr3:uid="{A52987F8-C8A8-41D2-B7B6-C8CEF01CA875}" name="Gesamt-menge1" totalsRowFunction="sum" dataDxfId="178" totalsRowDxfId="169">
      <calculatedColumnFormula>IF(Tabelle2151422234567891011121314151617181920212324[[#This Row],[Menge/ Behälter1]]="","",F4*G4)</calculatedColumnFormula>
    </tableColumn>
    <tableColumn id="7" xr3:uid="{ED015E44-977C-4DC3-83DD-A767113266CE}" name="Bemerkung" dataDxfId="177" totalsRowDxfId="168"/>
  </tableColumns>
  <tableStyleInfo name="TableStyleMedium16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D016B1D-825C-4B22-8578-84EA46878597}" name="Tabelle215142223456789101112131415161718192021232425" displayName="Tabelle215142223456789101112131415161718192021232425" ref="A3:I24" totalsRowCount="1" headerRowDxfId="167" dataDxfId="166" totalsRowDxfId="165" headerRowBorderDxfId="163" tableBorderDxfId="164" totalsRowBorderDxfId="162">
  <autoFilter ref="A3:I23" xr:uid="{8AEE785E-BA42-47AD-89F6-E619B4CC430E}"/>
  <tableColumns count="9">
    <tableColumn id="1" xr3:uid="{6F93AAB4-844A-4CF2-A5FF-9A369DAC2C1A}" name="Position" dataDxfId="161" totalsRowDxfId="152"/>
    <tableColumn id="2" xr3:uid="{FCEC1CC0-9798-4D1B-BF0D-37EB0AAA0FA8}" name="Sachnummer" dataDxfId="160" totalsRowDxfId="151"/>
    <tableColumn id="8" xr3:uid="{DB0FFC51-DFBD-44CE-BD6B-FE18F2F0CCEB}" name="Menge/ Behälter" dataDxfId="159" totalsRowDxfId="150"/>
    <tableColumn id="9" xr3:uid="{5454E2E0-40D3-4CF0-8E34-8E30B3B131CF}" name="Anzahl Behälter" totalsRowFunction="sum" dataDxfId="158" totalsRowDxfId="149"/>
    <tableColumn id="10" xr3:uid="{751251A2-1E0F-4AF0-A8D2-43767BBF7F58}" name="Gesamt-menge" totalsRowFunction="sum" dataDxfId="157" totalsRowDxfId="148">
      <calculatedColumnFormula>Tabelle215142223456789101112131415161718192021232425[[#This Row],[Menge/ Behälter]]*Tabelle215142223456789101112131415161718192021232425[[#This Row],[Anzahl Behälter]]</calculatedColumnFormula>
    </tableColumn>
    <tableColumn id="4" xr3:uid="{EB55E7BF-59B9-4705-BFF9-4DF0FD8A5585}" name="Menge/ Behälter1" dataDxfId="156" totalsRowDxfId="147"/>
    <tableColumn id="5" xr3:uid="{75F75C18-DB20-4A4A-BF3F-D6D0E5FAB227}" name="Anzahl Behälter1" totalsRowFunction="sum" dataDxfId="155" totalsRowDxfId="146"/>
    <tableColumn id="6" xr3:uid="{24F513E7-9E31-47EF-8F96-383218DDC922}" name="Gesamt-menge1" totalsRowFunction="sum" dataDxfId="154" totalsRowDxfId="145">
      <calculatedColumnFormula>IF(Tabelle215142223456789101112131415161718192021232425[[#This Row],[Menge/ Behälter1]]="","",F4*G4)</calculatedColumnFormula>
    </tableColumn>
    <tableColumn id="7" xr3:uid="{54E872BC-2AC9-439E-912C-00784B40CD87}" name="Bemerkung" dataDxfId="153" totalsRowDxfId="144"/>
  </tableColumns>
  <tableStyleInfo name="TableStyleMedium16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CBAD831-3A99-4886-B471-F219B47974AD}" name="Tabelle21514222345678910111213141516171819202123242526" displayName="Tabelle21514222345678910111213141516171819202123242526" ref="A3:I24" totalsRowCount="1" headerRowDxfId="143" dataDxfId="142" totalsRowDxfId="141" headerRowBorderDxfId="139" tableBorderDxfId="140" totalsRowBorderDxfId="138">
  <autoFilter ref="A3:I23" xr:uid="{8AEE785E-BA42-47AD-89F6-E619B4CC430E}"/>
  <tableColumns count="9">
    <tableColumn id="1" xr3:uid="{E7C15D72-41FD-46DE-BB58-91D86D715909}" name="Position" dataDxfId="137" totalsRowDxfId="128"/>
    <tableColumn id="2" xr3:uid="{2D0BCD0E-E645-4320-AED5-B6FBA51509F8}" name="Sachnummer" dataDxfId="136" totalsRowDxfId="127"/>
    <tableColumn id="8" xr3:uid="{60DE6944-C973-48B0-BB9E-B6066B0DD823}" name="Menge/ Behälter" dataDxfId="135" totalsRowDxfId="126"/>
    <tableColumn id="9" xr3:uid="{BD94A0DE-1833-4AFA-AD8A-46E8C4501FBE}" name="Anzahl Behälter" totalsRowFunction="sum" dataDxfId="134" totalsRowDxfId="125"/>
    <tableColumn id="10" xr3:uid="{F992C58A-931A-404A-B193-6A0AEEAF4A27}" name="Gesamt-menge" totalsRowFunction="sum" dataDxfId="133" totalsRowDxfId="124">
      <calculatedColumnFormula>Tabelle21514222345678910111213141516171819202123242526[[#This Row],[Menge/ Behälter]]*Tabelle21514222345678910111213141516171819202123242526[[#This Row],[Anzahl Behälter]]</calculatedColumnFormula>
    </tableColumn>
    <tableColumn id="4" xr3:uid="{7F9F0609-DACC-4630-B8B4-AE5D91ED7987}" name="Menge/ Behälter1" dataDxfId="132" totalsRowDxfId="123"/>
    <tableColumn id="5" xr3:uid="{F4853E24-AE0C-4C14-B1C1-1066BBB8C283}" name="Anzahl Behälter1" totalsRowFunction="sum" dataDxfId="131" totalsRowDxfId="122"/>
    <tableColumn id="6" xr3:uid="{926996FC-3689-4BA4-B216-4E96FC3E3708}" name="Gesamt-menge1" totalsRowFunction="sum" dataDxfId="130" totalsRowDxfId="121">
      <calculatedColumnFormula>IF(Tabelle21514222345678910111213141516171819202123242526[[#This Row],[Menge/ Behälter1]]="","",F4*G4)</calculatedColumnFormula>
    </tableColumn>
    <tableColumn id="7" xr3:uid="{3F4E67D1-842B-44D4-A129-8BC277170365}" name="Bemerkung" dataDxfId="129" totalsRowDxfId="120"/>
  </tableColumns>
  <tableStyleInfo name="TableStyleMedium16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20C13D4-79CF-46C4-8568-AA8730A17DC8}" name="Tabelle2151422234567891011121314151617181920212324252627" displayName="Tabelle2151422234567891011121314151617181920212324252627" ref="A3:I24" totalsRowCount="1" headerRowDxfId="119" dataDxfId="118" totalsRowDxfId="117" headerRowBorderDxfId="115" tableBorderDxfId="116" totalsRowBorderDxfId="114">
  <autoFilter ref="A3:I23" xr:uid="{8AEE785E-BA42-47AD-89F6-E619B4CC430E}"/>
  <tableColumns count="9">
    <tableColumn id="1" xr3:uid="{A05C2DE0-353A-4E08-A63C-10D6B094B43A}" name="Position" dataDxfId="113" totalsRowDxfId="104"/>
    <tableColumn id="2" xr3:uid="{AF22AB3A-919B-4AA6-85BF-F1987F7D5CD6}" name="Sachnummer" dataDxfId="112" totalsRowDxfId="103"/>
    <tableColumn id="8" xr3:uid="{126D7FBE-2D8E-4483-A324-6C81A93C7E33}" name="Menge/ Behälter" dataDxfId="111" totalsRowDxfId="102"/>
    <tableColumn id="9" xr3:uid="{8EFC9B3B-DE83-4BBD-896D-AAABED2AB530}" name="Anzahl Behälter" totalsRowFunction="sum" dataDxfId="110" totalsRowDxfId="101"/>
    <tableColumn id="10" xr3:uid="{E4F5643D-97F7-4291-A8A8-C55B2EA58034}" name="Gesamt-menge" totalsRowFunction="sum" dataDxfId="109" totalsRowDxfId="100">
      <calculatedColumnFormula>Tabelle2151422234567891011121314151617181920212324252627[[#This Row],[Menge/ Behälter]]*Tabelle2151422234567891011121314151617181920212324252627[[#This Row],[Anzahl Behälter]]</calculatedColumnFormula>
    </tableColumn>
    <tableColumn id="4" xr3:uid="{78E14801-4F62-4596-A509-6D85EA672E17}" name="Menge/ Behälter1" dataDxfId="108" totalsRowDxfId="99"/>
    <tableColumn id="5" xr3:uid="{F8EBC3A8-FD6D-44AA-A0CE-EB0507D2873F}" name="Anzahl Behälter1" totalsRowFunction="sum" dataDxfId="107" totalsRowDxfId="98"/>
    <tableColumn id="6" xr3:uid="{2EB9E42B-9A46-4D31-9BEB-08DBE9C17D03}" name="Gesamt-menge1" totalsRowFunction="sum" dataDxfId="106" totalsRowDxfId="97">
      <calculatedColumnFormula>IF(Tabelle2151422234567891011121314151617181920212324252627[[#This Row],[Menge/ Behälter1]]="","",F4*G4)</calculatedColumnFormula>
    </tableColumn>
    <tableColumn id="7" xr3:uid="{734E2B58-564B-401D-8F9C-73474871927B}" name="Bemerkung" dataDxfId="105" totalsRowDxfId="96"/>
  </tableColumns>
  <tableStyleInfo name="TableStyleMedium16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F9A6B81-727F-44EF-B85E-2C27E1071CDD}" name="Tabelle215142223456789101112131415161718192021232425262728" displayName="Tabelle215142223456789101112131415161718192021232425262728" ref="A3:I24" totalsRowCount="1" headerRowDxfId="95" dataDxfId="94" totalsRowDxfId="93" headerRowBorderDxfId="91" tableBorderDxfId="92" totalsRowBorderDxfId="90">
  <autoFilter ref="A3:I23" xr:uid="{8AEE785E-BA42-47AD-89F6-E619B4CC430E}"/>
  <tableColumns count="9">
    <tableColumn id="1" xr3:uid="{8CC36877-707E-463B-8F9C-70D58BA2F12C}" name="Position" dataDxfId="89" totalsRowDxfId="80"/>
    <tableColumn id="2" xr3:uid="{E0189F98-3ADF-4BA3-BEC5-9538D9CBB856}" name="Sachnummer" dataDxfId="88" totalsRowDxfId="79"/>
    <tableColumn id="8" xr3:uid="{CC550A6F-C2D7-4CE8-821A-AAEE2F2C354F}" name="Menge/ Behälter" dataDxfId="87" totalsRowDxfId="78"/>
    <tableColumn id="9" xr3:uid="{BD6DCC1E-70E3-4634-9345-3070E77C8B42}" name="Anzahl Behälter" totalsRowFunction="sum" dataDxfId="86" totalsRowDxfId="77"/>
    <tableColumn id="10" xr3:uid="{EF3DF705-436C-41F4-9D88-73E28AA8F6C0}" name="Gesamt-menge" totalsRowFunction="sum" dataDxfId="85" totalsRowDxfId="76">
      <calculatedColumnFormula>Tabelle215142223456789101112131415161718192021232425262728[[#This Row],[Menge/ Behälter]]*Tabelle215142223456789101112131415161718192021232425262728[[#This Row],[Anzahl Behälter]]</calculatedColumnFormula>
    </tableColumn>
    <tableColumn id="4" xr3:uid="{3B1D1CA3-E148-45B9-93AB-F6E88CE55D36}" name="Menge/ Behälter1" dataDxfId="84" totalsRowDxfId="75"/>
    <tableColumn id="5" xr3:uid="{4FD47E4C-B267-46E5-982D-80A25D47EA51}" name="Anzahl Behälter1" totalsRowFunction="sum" dataDxfId="83" totalsRowDxfId="74"/>
    <tableColumn id="6" xr3:uid="{CEECE6C3-CFB8-4CA1-A45A-1D3FDAC3F2CD}" name="Gesamt-menge1" totalsRowFunction="sum" dataDxfId="82" totalsRowDxfId="73">
      <calculatedColumnFormula>IF(Tabelle215142223456789101112131415161718192021232425262728[[#This Row],[Menge/ Behälter1]]="","",F4*G4)</calculatedColumnFormula>
    </tableColumn>
    <tableColumn id="7" xr3:uid="{46BD040A-0BBB-4A74-9E0F-C809AE593A52}" name="Bemerkung" dataDxfId="81" totalsRowDxfId="72"/>
  </tableColumns>
  <tableStyleInfo name="TableStyleMedium16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0D3EE7B-3D76-4798-98BE-C5675D0FEA42}" name="Tabelle21514222345678910111213141516171819202123242526272831" displayName="Tabelle21514222345678910111213141516171819202123242526272831" ref="A3:I24" totalsRowCount="1" headerRowDxfId="71" dataDxfId="70" totalsRowDxfId="69" headerRowBorderDxfId="67" tableBorderDxfId="68" totalsRowBorderDxfId="66">
  <autoFilter ref="A3:I23" xr:uid="{8AEE785E-BA42-47AD-89F6-E619B4CC430E}"/>
  <tableColumns count="9">
    <tableColumn id="1" xr3:uid="{98B3A0DB-80FA-4692-A8B6-F46014AE25D6}" name="Position" dataDxfId="65" totalsRowDxfId="56"/>
    <tableColumn id="2" xr3:uid="{79E7425D-392A-420D-9721-8C5F24DA60F8}" name="Sachnummer" dataDxfId="64" totalsRowDxfId="55"/>
    <tableColumn id="8" xr3:uid="{E421C6A1-4A78-4905-A5D9-DB5A8482189A}" name="Menge/ Behälter" dataDxfId="63" totalsRowDxfId="54"/>
    <tableColumn id="9" xr3:uid="{90DFFC67-2927-427C-9D6C-67320136F95D}" name="Anzahl Behälter" totalsRowFunction="sum" dataDxfId="62" totalsRowDxfId="53"/>
    <tableColumn id="10" xr3:uid="{7F2B68CA-A3D9-449C-9C8F-EDAE27A94867}" name="Gesamt-menge" totalsRowFunction="sum" dataDxfId="61" totalsRowDxfId="52">
      <calculatedColumnFormula>Tabelle21514222345678910111213141516171819202123242526272831[[#This Row],[Menge/ Behälter]]*Tabelle21514222345678910111213141516171819202123242526272831[[#This Row],[Anzahl Behälter]]</calculatedColumnFormula>
    </tableColumn>
    <tableColumn id="4" xr3:uid="{9A8F2628-D6F5-4EB9-9244-19E717B96AA0}" name="Menge/ Behälter1" dataDxfId="60" totalsRowDxfId="51"/>
    <tableColumn id="5" xr3:uid="{0DD023AE-4EDC-4213-9D42-12BACDEE198E}" name="Anzahl Behälter1" totalsRowFunction="sum" dataDxfId="59" totalsRowDxfId="50"/>
    <tableColumn id="6" xr3:uid="{916872B2-AC8E-432F-AB81-43BE7571D00F}" name="Gesamt-menge1" totalsRowFunction="sum" dataDxfId="58" totalsRowDxfId="49">
      <calculatedColumnFormula>IF(Tabelle21514222345678910111213141516171819202123242526272831[[#This Row],[Menge/ Behälter1]]="","",F4*G4)</calculatedColumnFormula>
    </tableColumn>
    <tableColumn id="7" xr3:uid="{1D34E8D1-70C3-4305-9C15-0C98E487D533}" name="Bemerkung" dataDxfId="57" totalsRowDxfId="48"/>
  </tableColumns>
  <tableStyleInfo name="TableStyleMedium1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A01A1E4-5978-4087-B403-3E61448E8933}" name="Tabelle2151422234567891011121314151617181920212324252627283132" displayName="Tabelle2151422234567891011121314151617181920212324252627283132" ref="A3:I24" totalsRowCount="1" headerRowDxfId="47" dataDxfId="46" totalsRowDxfId="45" headerRowBorderDxfId="43" tableBorderDxfId="44" totalsRowBorderDxfId="42">
  <autoFilter ref="A3:I23" xr:uid="{8AEE785E-BA42-47AD-89F6-E619B4CC430E}"/>
  <tableColumns count="9">
    <tableColumn id="1" xr3:uid="{014FF14A-02F0-4412-9377-314E0C49701D}" name="Position" dataDxfId="41" totalsRowDxfId="32"/>
    <tableColumn id="2" xr3:uid="{C5BA00B6-878E-46D6-A297-FFD28E97CF1F}" name="Sachnummer" dataDxfId="40" totalsRowDxfId="31"/>
    <tableColumn id="8" xr3:uid="{4C2C9099-0FA4-4ECB-87EF-9A1BFBA4EB09}" name="Menge/ Behälter" dataDxfId="39" totalsRowDxfId="30"/>
    <tableColumn id="9" xr3:uid="{A90D69A5-1458-4FEB-9A66-115ADB34E5C3}" name="Anzahl Behälter" totalsRowFunction="sum" dataDxfId="38" totalsRowDxfId="29"/>
    <tableColumn id="10" xr3:uid="{25860B6D-982B-4746-B041-BBA57BC7AE85}" name="Gesamt-menge" totalsRowFunction="sum" dataDxfId="37" totalsRowDxfId="28">
      <calculatedColumnFormula>Tabelle2151422234567891011121314151617181920212324252627283132[[#This Row],[Menge/ Behälter]]*Tabelle2151422234567891011121314151617181920212324252627283132[[#This Row],[Anzahl Behälter]]</calculatedColumnFormula>
    </tableColumn>
    <tableColumn id="4" xr3:uid="{52D43C8A-C418-459A-AA6C-083FC9654AAC}" name="Menge/ Behälter1" dataDxfId="36" totalsRowDxfId="27"/>
    <tableColumn id="5" xr3:uid="{B3091843-E8D6-4184-B01C-D95E788D3139}" name="Anzahl Behälter1" totalsRowFunction="sum" dataDxfId="35" totalsRowDxfId="26"/>
    <tableColumn id="6" xr3:uid="{9A32EDDF-7632-4CA6-A3C6-384C47791AC9}" name="Gesamt-menge1" totalsRowFunction="sum" dataDxfId="34" totalsRowDxfId="25">
      <calculatedColumnFormula>IF(Tabelle2151422234567891011121314151617181920212324252627283132[[#This Row],[Menge/ Behälter1]]="","",F4*G4)</calculatedColumnFormula>
    </tableColumn>
    <tableColumn id="7" xr3:uid="{9D9A7EE1-5B18-4B7D-BD93-276170D2F599}" name="Bemerkung" dataDxfId="33" totalsRowDxfId="24"/>
  </tableColumns>
  <tableStyleInfo name="TableStyleMedium16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C65E1D2-E180-4048-8DF4-AA4FEA428B94}" name="Tabelle215142223456789101112131415161718192021232425262728313233" displayName="Tabelle215142223456789101112131415161718192021232425262728313233" ref="A3:I24" totalsRowCount="1" headerRowDxfId="23" dataDxfId="22" totalsRowDxfId="21" headerRowBorderDxfId="19" tableBorderDxfId="20" totalsRowBorderDxfId="18">
  <autoFilter ref="A3:I23" xr:uid="{8AEE785E-BA42-47AD-89F6-E619B4CC430E}"/>
  <tableColumns count="9">
    <tableColumn id="1" xr3:uid="{519C7CBB-0AF2-4B00-AA9F-7194AD6B0F30}" name="Position" dataDxfId="16" totalsRowDxfId="17"/>
    <tableColumn id="2" xr3:uid="{BFC8D843-931E-4715-A540-F382840867AE}" name="Sachnummer" dataDxfId="14" totalsRowDxfId="15"/>
    <tableColumn id="8" xr3:uid="{4810B9AE-CD4B-4C58-83FF-733DCD1105E2}" name="Menge/ Behälter" dataDxfId="12" totalsRowDxfId="13"/>
    <tableColumn id="9" xr3:uid="{1B12052D-F594-405B-B837-080A4EA71749}" name="Anzahl Behälter" totalsRowFunction="sum" dataDxfId="10" totalsRowDxfId="11"/>
    <tableColumn id="10" xr3:uid="{42BBF352-60FB-463C-B435-527191FA5356}" name="Gesamt-menge" totalsRowFunction="sum" dataDxfId="8" totalsRowDxfId="9">
      <calculatedColumnFormula>Tabelle215142223456789101112131415161718192021232425262728313233[[#This Row],[Menge/ Behälter]]*Tabelle215142223456789101112131415161718192021232425262728313233[[#This Row],[Anzahl Behälter]]</calculatedColumnFormula>
    </tableColumn>
    <tableColumn id="4" xr3:uid="{7D3946A2-43D9-4AAE-9489-64154FE92657}" name="Menge/ Behälter1" dataDxfId="6" totalsRowDxfId="7"/>
    <tableColumn id="5" xr3:uid="{FF8FF8BC-F8FF-49CF-AB75-408FF1E57E02}" name="Anzahl Behälter1" totalsRowFunction="sum" dataDxfId="4" totalsRowDxfId="5"/>
    <tableColumn id="6" xr3:uid="{9ECBDCBF-5CEB-427D-B63F-1540B73F9C1C}" name="Gesamt-menge1" totalsRowFunction="sum" dataDxfId="2" totalsRowDxfId="3">
      <calculatedColumnFormula>IF(Tabelle215142223456789101112131415161718192021232425262728313233[[#This Row],[Menge/ Behälter1]]="","",F4*G4)</calculatedColumnFormula>
    </tableColumn>
    <tableColumn id="7" xr3:uid="{FD1AE684-BAC3-4E06-8928-B0E491222640}" name="Bemerkung" dataDxfId="0" totalsRowDxfId="1"/>
  </tableColumns>
  <tableStyleInfo name="TableStyleMedium16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F058E97-3315-4CBB-AD4E-4A510F0A31B6}" name="Tabelle2151429" displayName="Tabelle2151429" ref="A4:I25" totalsRowCount="1" headerRowDxfId="752" dataDxfId="750" totalsRowDxfId="748" headerRowBorderDxfId="751" tableBorderDxfId="749" totalsRowBorderDxfId="747">
  <autoFilter ref="A4:I24" xr:uid="{8AEE785E-BA42-47AD-89F6-E619B4CC430E}"/>
  <tableColumns count="9">
    <tableColumn id="1" xr3:uid="{056FCD46-2FD5-4149-89F1-DA8179B84DA6}" name="Reihe" dataDxfId="746" totalsRowDxfId="745"/>
    <tableColumn id="2" xr3:uid="{0548CEB4-DD21-4EF4-ADE3-5CEBF815A05D}" name="Ref.-Nr." dataDxfId="744" totalsRowDxfId="743"/>
    <tableColumn id="8" xr3:uid="{98B7EF3B-1434-444F-AD94-8B3693391CB2}" name="Menge/ Behälter" dataDxfId="742" totalsRowDxfId="741"/>
    <tableColumn id="9" xr3:uid="{B6E4A94D-5233-4442-BC9F-48B99922E563}" name="Anzahl Behälter" totalsRowFunction="sum" dataDxfId="740" totalsRowDxfId="739"/>
    <tableColumn id="10" xr3:uid="{C20153A4-66DA-47AA-8885-0BBE3ED94BD5}" name="Gesamt-menge" totalsRowFunction="sum" dataDxfId="738" totalsRowDxfId="737">
      <calculatedColumnFormula>+Tabelle2151429[[#This Row],[Menge/ Behälter]]*Tabelle2151429[[#This Row],[Anzahl Behälter]]</calculatedColumnFormula>
    </tableColumn>
    <tableColumn id="4" xr3:uid="{A0CFD590-2C80-489D-926B-5B3DB5EF4191}" name="Menge/ Behälter1" dataDxfId="736" totalsRowDxfId="735"/>
    <tableColumn id="5" xr3:uid="{A02EFECD-E68B-46CF-B61B-AB68EE820A0B}" name="Anzahl Behälter1" totalsRowFunction="sum" dataDxfId="734" totalsRowDxfId="733"/>
    <tableColumn id="6" xr3:uid="{AC7939DE-08E0-47D4-A665-8BBFF8E6A4AA}" name="Gesamt-menge1" totalsRowFunction="sum" dataDxfId="732" totalsRowDxfId="731">
      <calculatedColumnFormula>IF(Tabelle2151429[[#This Row],[Menge/ Behälter1]]="","",F5*G5)</calculatedColumnFormula>
    </tableColumn>
    <tableColumn id="7" xr3:uid="{C5955840-85E9-4419-B0CC-6712422FC003}" name="Bemerkung" dataDxfId="730" totalsRowDxfId="729"/>
  </tableColumns>
  <tableStyleInfo name="TableStyleMedium16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89A830A-45EF-4B49-8401-FBBD3197BC3A}" name="Tabelle215142930" displayName="Tabelle215142930" ref="J4:R25" totalsRowCount="1" headerRowDxfId="728" dataDxfId="726" totalsRowDxfId="724" headerRowBorderDxfId="727" tableBorderDxfId="725" totalsRowBorderDxfId="723">
  <autoFilter ref="J4:R24" xr:uid="{789A830A-45EF-4B49-8401-FBBD3197BC3A}"/>
  <tableColumns count="9">
    <tableColumn id="1" xr3:uid="{FEB8EF6C-8D68-4538-A545-F7056BABBDD0}" name="Reihe" dataDxfId="722" totalsRowDxfId="721"/>
    <tableColumn id="2" xr3:uid="{6CECE115-7678-492B-A9CE-7389D01B2436}" name="Sachnummer" dataDxfId="720" totalsRowDxfId="719"/>
    <tableColumn id="8" xr3:uid="{1B493529-238C-4B20-A0A2-824664F30B8F}" name="Menge/ Behälter" dataDxfId="718" totalsRowDxfId="717"/>
    <tableColumn id="9" xr3:uid="{9E41734D-F05C-47A1-B21B-AD1F5652CE37}" name="Anzahl Behälter" totalsRowFunction="sum" dataDxfId="716" totalsRowDxfId="715"/>
    <tableColumn id="10" xr3:uid="{96FCEF4A-E127-4D89-B025-19ADD7D95B12}" name="Gesamt-menge" totalsRowFunction="sum" dataDxfId="714" totalsRowDxfId="713">
      <calculatedColumnFormula>Tabelle215142930[[#This Row],[Menge/ Behälter]]*Tabelle215142930[[#This Row],[Anzahl Behälter]]</calculatedColumnFormula>
    </tableColumn>
    <tableColumn id="4" xr3:uid="{4AF4B0B7-07B7-4742-BD6E-C38E493CB490}" name="Menge/ Behälter1" dataDxfId="712" totalsRowDxfId="711"/>
    <tableColumn id="5" xr3:uid="{6FCC05D8-209B-469C-9999-D9F71906DE39}" name="Anzahl Behälter1" totalsRowFunction="sum" dataDxfId="710" totalsRowDxfId="709"/>
    <tableColumn id="6" xr3:uid="{310AF7A0-161F-404B-A2B0-449800C3835A}" name="Gesamt-menge1" totalsRowFunction="sum" dataDxfId="708" totalsRowDxfId="707">
      <calculatedColumnFormula>IF(Tabelle215142930[[#This Row],[Menge/ Behälter1]]="","",O5*P5)</calculatedColumnFormula>
    </tableColumn>
    <tableColumn id="7" xr3:uid="{B9BA522C-E3A6-4F1D-A530-023782DD0296}" name="Bemerkung" dataDxfId="706" totalsRowDxfId="705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9C34-4D5E-45F6-9C06-FC20CDF82639}">
  <dimension ref="A1:I26"/>
  <sheetViews>
    <sheetView view="pageLayout" zoomScaleNormal="100" workbookViewId="0">
      <selection activeCell="F6" sqref="F6"/>
    </sheetView>
  </sheetViews>
  <sheetFormatPr baseColWidth="10" defaultRowHeight="14.4" x14ac:dyDescent="0.3"/>
  <cols>
    <col min="1" max="1" width="5.6640625" customWidth="1"/>
    <col min="2" max="2" width="12" customWidth="1"/>
    <col min="3" max="3" width="9.44140625" customWidth="1"/>
    <col min="4" max="4" width="9.6640625" customWidth="1"/>
    <col min="5" max="5" width="8.21875" customWidth="1"/>
    <col min="6" max="7" width="10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29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9" t="s">
        <v>10</v>
      </c>
      <c r="C4" s="9"/>
      <c r="D4" s="9"/>
      <c r="E4" s="9">
        <f>Tabelle2151422[[#This Row],[Menge/ Behälter]]*Tabelle2151422[[#This Row],[Anzahl Behälter]]</f>
        <v>0</v>
      </c>
      <c r="F4" s="16">
        <v>240</v>
      </c>
      <c r="G4" s="16">
        <v>111</v>
      </c>
      <c r="H4" s="16">
        <f>IF(Tabelle2151422[[#This Row],[Menge/ Behälter1]]="","",F4*G4)</f>
        <v>26640</v>
      </c>
      <c r="I4" s="10"/>
    </row>
    <row r="5" spans="1:9" ht="24" customHeight="1" x14ac:dyDescent="0.3">
      <c r="A5" s="8">
        <v>2</v>
      </c>
      <c r="B5" s="9" t="s">
        <v>32</v>
      </c>
      <c r="C5" s="9"/>
      <c r="D5" s="9"/>
      <c r="E5" s="9"/>
      <c r="F5" s="16">
        <v>240</v>
      </c>
      <c r="G5" s="16">
        <v>1</v>
      </c>
      <c r="H5" s="16">
        <f>IF(Tabelle2151422[[#This Row],[Menge/ Behälter1]]="","",F5*G5)</f>
        <v>240</v>
      </c>
      <c r="I5" s="10"/>
    </row>
    <row r="6" spans="1:9" ht="24" customHeight="1" x14ac:dyDescent="0.3">
      <c r="A6" s="8">
        <v>3</v>
      </c>
      <c r="B6" s="9"/>
      <c r="C6" s="9"/>
      <c r="D6" s="9"/>
      <c r="E6" s="9"/>
      <c r="F6" s="16"/>
      <c r="G6" s="16"/>
      <c r="H6" s="16" t="str">
        <f>IF(Tabelle2151422[[#This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SUBTOTAL(109,Tabelle2151422[Anzahl Behälter])</f>
        <v>0</v>
      </c>
      <c r="E24" s="12">
        <f>SUBTOTAL(109,Tabelle2151422[Gesamt-menge])</f>
        <v>0</v>
      </c>
      <c r="F24" s="17"/>
      <c r="G24" s="17">
        <f>SUBTOTAL(109,Tabelle2151422[Anzahl Behälter1])</f>
        <v>112</v>
      </c>
      <c r="H24" s="17">
        <f>SUBTOTAL(109,Tabelle2151422[Gesamt-menge1])</f>
        <v>26880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BE6DB-963B-4FBE-84DC-5F75CAE6897B}">
  <dimension ref="A1:I26"/>
  <sheetViews>
    <sheetView view="pageLayout" zoomScaleNormal="100" workbookViewId="0">
      <selection activeCell="G5" sqref="G5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.6640625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30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16</v>
      </c>
      <c r="C4" s="9"/>
      <c r="D4" s="9"/>
      <c r="E4" s="9">
        <f>Tabelle21514222[[#This Row],[Menge/ Behälter]]*Tabelle21514222[[#This Row],[Anzahl Behälter]]</f>
        <v>0</v>
      </c>
      <c r="F4" s="16">
        <v>240</v>
      </c>
      <c r="G4" s="16">
        <v>76</v>
      </c>
      <c r="H4" s="16">
        <f>IF(Tabelle21514222[[#This Row],[Menge/ Behälter1]]="","",F4*G4)</f>
        <v>18240</v>
      </c>
      <c r="I4" s="10"/>
    </row>
    <row r="5" spans="1:9" ht="24" customHeight="1" x14ac:dyDescent="0.3">
      <c r="A5" s="8">
        <v>2</v>
      </c>
      <c r="B5" s="31"/>
      <c r="C5" s="9"/>
      <c r="D5" s="9"/>
      <c r="E5" s="9"/>
      <c r="F5" s="16"/>
      <c r="G5" s="16"/>
      <c r="H5" s="16" t="str">
        <f>IF(Tabelle21514222[[#This Row],[Menge/ Behälter1]]="","",F5*G5)</f>
        <v/>
      </c>
      <c r="I5" s="10"/>
    </row>
    <row r="6" spans="1:9" ht="24" customHeight="1" x14ac:dyDescent="0.3">
      <c r="A6" s="8">
        <v>3</v>
      </c>
      <c r="B6" s="9"/>
      <c r="C6" s="9"/>
      <c r="D6" s="9"/>
      <c r="E6" s="9"/>
      <c r="F6" s="16"/>
      <c r="G6" s="16"/>
      <c r="H6" s="16" t="str">
        <f>IF(Tabelle21514222[[#This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SUBTOTAL(109,Tabelle21514222[Anzahl Behälter])</f>
        <v>0</v>
      </c>
      <c r="E24" s="12">
        <f>SUBTOTAL(109,Tabelle21514222[Gesamt-menge])</f>
        <v>0</v>
      </c>
      <c r="F24" s="17"/>
      <c r="G24" s="17">
        <f>SUBTOTAL(109,Tabelle21514222[Anzahl Behälter1])</f>
        <v>76</v>
      </c>
      <c r="H24" s="17">
        <f>SUBTOTAL(109,Tabelle21514222[Gesamt-menge1])</f>
        <v>18240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7B86-14BC-4AA5-95BF-F1675CE1683F}">
  <dimension ref="A1:I26"/>
  <sheetViews>
    <sheetView view="pageLayout" zoomScaleNormal="100" workbookViewId="0">
      <selection activeCell="G5" sqref="G5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.6640625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31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32</v>
      </c>
      <c r="C4" s="9"/>
      <c r="D4" s="9"/>
      <c r="E4" s="9">
        <f>Tabelle215142223[[#This Row],[Menge/ Behälter]]*Tabelle215142223[[#This Row],[Anzahl Behälter]]</f>
        <v>0</v>
      </c>
      <c r="F4" s="16">
        <v>240</v>
      </c>
      <c r="G4" s="16">
        <v>100</v>
      </c>
      <c r="H4" s="16">
        <f>IF(Tabelle215142223[[#This Row],[Menge/ Behälter1]]="","",F4*G4)</f>
        <v>24000</v>
      </c>
      <c r="I4" s="10"/>
    </row>
    <row r="5" spans="1:9" ht="24" customHeight="1" x14ac:dyDescent="0.3">
      <c r="A5" s="8">
        <v>2</v>
      </c>
      <c r="B5" s="31"/>
      <c r="C5" s="9"/>
      <c r="D5" s="9"/>
      <c r="E5" s="9"/>
      <c r="F5" s="16"/>
      <c r="G5" s="16"/>
      <c r="H5" s="16" t="str">
        <f>IF(Tabelle215142223[[#This Row],[Menge/ Behälter1]]="","",F5*G5)</f>
        <v/>
      </c>
      <c r="I5" s="10"/>
    </row>
    <row r="6" spans="1:9" ht="24" customHeight="1" x14ac:dyDescent="0.3">
      <c r="A6" s="8">
        <v>3</v>
      </c>
      <c r="B6" s="9"/>
      <c r="C6" s="9"/>
      <c r="D6" s="9"/>
      <c r="E6" s="9"/>
      <c r="F6" s="16"/>
      <c r="G6" s="16"/>
      <c r="H6" s="16" t="str">
        <f>IF(Tabelle215142223[[#This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SUBTOTAL(109,Tabelle215142223[Anzahl Behälter])</f>
        <v>0</v>
      </c>
      <c r="E24" s="12">
        <f>SUBTOTAL(109,Tabelle215142223[Gesamt-menge])</f>
        <v>0</v>
      </c>
      <c r="F24" s="17"/>
      <c r="G24" s="17">
        <f>SUBTOTAL(109,Tabelle215142223[Anzahl Behälter1])</f>
        <v>100</v>
      </c>
      <c r="H24" s="17">
        <f>SUBTOTAL(109,Tabelle215142223[Gesamt-menge1])</f>
        <v>24000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8DFAF-DAC8-4151-BC0B-F7A1CA868B8C}">
  <dimension ref="A1:I26"/>
  <sheetViews>
    <sheetView view="pageLayout" zoomScaleNormal="100" workbookViewId="0">
      <selection activeCell="B6" sqref="B6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.6640625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33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10</v>
      </c>
      <c r="C4" s="9"/>
      <c r="D4" s="9"/>
      <c r="E4" s="9">
        <f>Tabelle2151422234[[#This Row],[Menge/ Behälter]]*Tabelle2151422234[[#This Row],[Anzahl Behälter]]</f>
        <v>0</v>
      </c>
      <c r="F4" s="16">
        <v>240</v>
      </c>
      <c r="G4" s="16">
        <v>89</v>
      </c>
      <c r="H4" s="16">
        <f>IF(Tabelle2151422234[[#This Row],[Menge/ Behälter1]]="","",F4*G4)</f>
        <v>21360</v>
      </c>
      <c r="I4" s="10"/>
    </row>
    <row r="5" spans="1:9" ht="24" customHeight="1" x14ac:dyDescent="0.3">
      <c r="A5" s="8">
        <v>2</v>
      </c>
      <c r="B5" s="31" t="s">
        <v>32</v>
      </c>
      <c r="C5" s="9"/>
      <c r="D5" s="9"/>
      <c r="E5" s="9">
        <f>Tabelle2151422234[[#This Row],[Menge/ Behälter]]*Tabelle2151422234[[#This Row],[Anzahl Behälter]]</f>
        <v>0</v>
      </c>
      <c r="F5" s="16">
        <v>240</v>
      </c>
      <c r="G5" s="16">
        <v>1</v>
      </c>
      <c r="H5" s="16">
        <f>IF(Tabelle2151422234[[#This Row],[Menge/ Behälter1]]="","",F5*G5)</f>
        <v>240</v>
      </c>
      <c r="I5" s="10"/>
    </row>
    <row r="6" spans="1:9" ht="24" customHeight="1" x14ac:dyDescent="0.3">
      <c r="A6" s="8">
        <v>3</v>
      </c>
      <c r="B6" s="9"/>
      <c r="C6" s="9"/>
      <c r="D6" s="9"/>
      <c r="E6" s="9"/>
      <c r="F6" s="16"/>
      <c r="G6" s="16"/>
      <c r="H6" s="16" t="str">
        <f>IF(Tabelle2151422234[[#This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SUBTOTAL(109,Tabelle2151422234[Anzahl Behälter])</f>
        <v>0</v>
      </c>
      <c r="E24" s="12">
        <f>SUBTOTAL(109,Tabelle2151422234[Gesamt-menge])</f>
        <v>0</v>
      </c>
      <c r="F24" s="17"/>
      <c r="G24" s="17">
        <f>SUBTOTAL(109,Tabelle2151422234[Anzahl Behälter1])</f>
        <v>90</v>
      </c>
      <c r="H24" s="17">
        <f>SUBTOTAL(109,Tabelle2151422234[Gesamt-menge1])</f>
        <v>21600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A8B1E-C6FD-42F8-94FB-1EC4990075AC}">
  <dimension ref="A1:I26"/>
  <sheetViews>
    <sheetView view="pageLayout" zoomScaleNormal="100" workbookViewId="0">
      <selection activeCell="B4" sqref="B4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.6640625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34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35</v>
      </c>
      <c r="C4" s="9"/>
      <c r="D4" s="9"/>
      <c r="E4" s="9">
        <f>Tabelle21514222345[[#This Row],[Menge/ Behälter]]*Tabelle21514222345[[#This Row],[Anzahl Behälter]]</f>
        <v>0</v>
      </c>
      <c r="F4" s="16">
        <v>120</v>
      </c>
      <c r="G4" s="16">
        <v>96</v>
      </c>
      <c r="H4" s="16">
        <f>IF(Tabelle21514222345[[#This Row],[Menge/ Behälter1]]="","",F4*G4)</f>
        <v>11520</v>
      </c>
      <c r="I4" s="10"/>
    </row>
    <row r="5" spans="1:9" ht="24" customHeight="1" x14ac:dyDescent="0.3">
      <c r="A5" s="8">
        <v>2</v>
      </c>
      <c r="B5" s="31"/>
      <c r="C5" s="9"/>
      <c r="D5" s="9"/>
      <c r="E5" s="9">
        <f>Tabelle21514222345[[#This Row],[Menge/ Behälter]]*Tabelle21514222345[[#This Row],[Anzahl Behälter]]</f>
        <v>0</v>
      </c>
      <c r="F5" s="16"/>
      <c r="G5" s="16"/>
      <c r="H5" s="16" t="str">
        <f>IF(Tabelle21514222345[[#This Row],[Menge/ Behälter1]]="","",F5*G5)</f>
        <v/>
      </c>
      <c r="I5" s="10"/>
    </row>
    <row r="6" spans="1:9" ht="24" customHeight="1" x14ac:dyDescent="0.3">
      <c r="A6" s="8">
        <v>3</v>
      </c>
      <c r="B6" s="9"/>
      <c r="C6" s="9"/>
      <c r="D6" s="9"/>
      <c r="E6" s="9"/>
      <c r="F6" s="16"/>
      <c r="G6" s="16"/>
      <c r="H6" s="16" t="str">
        <f>IF(Tabelle21514222345[[#This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SUBTOTAL(109,Tabelle21514222345[Anzahl Behälter])</f>
        <v>0</v>
      </c>
      <c r="E24" s="12">
        <f>SUBTOTAL(109,Tabelle21514222345[Gesamt-menge])</f>
        <v>0</v>
      </c>
      <c r="F24" s="17"/>
      <c r="G24" s="17">
        <f>SUBTOTAL(109,Tabelle21514222345[Anzahl Behälter1])</f>
        <v>96</v>
      </c>
      <c r="H24" s="17">
        <f>SUBTOTAL(109,Tabelle21514222345[Gesamt-menge1])</f>
        <v>11520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87022-36B9-40F8-A44F-4FF82796CEF6}">
  <dimension ref="A1:I26"/>
  <sheetViews>
    <sheetView view="pageLayout" zoomScaleNormal="100" workbookViewId="0">
      <selection activeCell="B4" sqref="B4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.6640625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36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35</v>
      </c>
      <c r="C4" s="9"/>
      <c r="D4" s="9"/>
      <c r="E4" s="9">
        <f>Tabelle215142223456[[#This Row],[Menge/ Behälter]]*Tabelle215142223456[[#This Row],[Anzahl Behälter]]</f>
        <v>0</v>
      </c>
      <c r="F4" s="16">
        <v>120</v>
      </c>
      <c r="G4" s="16">
        <v>100</v>
      </c>
      <c r="H4" s="16">
        <f>IF(Tabelle215142223456[[#This Row],[Menge/ Behälter1]]="","",F4*G4)</f>
        <v>12000</v>
      </c>
      <c r="I4" s="10"/>
    </row>
    <row r="5" spans="1:9" ht="24" customHeight="1" x14ac:dyDescent="0.3">
      <c r="A5" s="8">
        <v>2</v>
      </c>
      <c r="B5" s="31"/>
      <c r="C5" s="9"/>
      <c r="D5" s="9"/>
      <c r="E5" s="9">
        <f>Tabelle215142223456[[#This Row],[Menge/ Behälter]]*Tabelle215142223456[[#This Row],[Anzahl Behälter]]</f>
        <v>0</v>
      </c>
      <c r="F5" s="16"/>
      <c r="G5" s="16"/>
      <c r="H5" s="16" t="str">
        <f>IF(Tabelle215142223456[[#This Row],[Menge/ Behälter1]]="","",F5*G5)</f>
        <v/>
      </c>
      <c r="I5" s="10"/>
    </row>
    <row r="6" spans="1:9" ht="24" customHeight="1" x14ac:dyDescent="0.3">
      <c r="A6" s="8">
        <v>3</v>
      </c>
      <c r="B6" s="9"/>
      <c r="C6" s="9"/>
      <c r="D6" s="9"/>
      <c r="E6" s="9"/>
      <c r="F6" s="16"/>
      <c r="G6" s="16"/>
      <c r="H6" s="16" t="str">
        <f>IF(Tabelle215142223456[[#This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SUBTOTAL(109,Tabelle215142223456[Anzahl Behälter])</f>
        <v>0</v>
      </c>
      <c r="E24" s="12">
        <f>SUBTOTAL(109,Tabelle215142223456[Gesamt-menge])</f>
        <v>0</v>
      </c>
      <c r="F24" s="17"/>
      <c r="G24" s="17">
        <f>SUBTOTAL(109,Tabelle215142223456[Anzahl Behälter1])</f>
        <v>100</v>
      </c>
      <c r="H24" s="17">
        <f>SUBTOTAL(109,Tabelle215142223456[Gesamt-menge1])</f>
        <v>12000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A616-1EBA-4E96-9494-5320B2625C23}">
  <dimension ref="A1:I26"/>
  <sheetViews>
    <sheetView view="pageLayout" zoomScaleNormal="100" workbookViewId="0">
      <selection activeCell="B4" sqref="B4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.6640625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37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10</v>
      </c>
      <c r="C4" s="9"/>
      <c r="D4" s="9"/>
      <c r="E4" s="9">
        <f>Tabelle2151422234567[[#This Row],[Menge/ Behälter]]*Tabelle2151422234567[[#This Row],[Anzahl Behälter]]</f>
        <v>0</v>
      </c>
      <c r="F4" s="16">
        <v>240</v>
      </c>
      <c r="G4" s="16">
        <v>100</v>
      </c>
      <c r="H4" s="16">
        <f>IF(Tabelle2151422234567[[#This Row],[Menge/ Behälter1]]="","",F4*G4)</f>
        <v>24000</v>
      </c>
      <c r="I4" s="10"/>
    </row>
    <row r="5" spans="1:9" ht="24" customHeight="1" x14ac:dyDescent="0.3">
      <c r="A5" s="8">
        <v>2</v>
      </c>
      <c r="B5" s="31"/>
      <c r="C5" s="9"/>
      <c r="D5" s="9"/>
      <c r="E5" s="9">
        <f>Tabelle2151422234567[[#This Row],[Menge/ Behälter]]*Tabelle2151422234567[[#This Row],[Anzahl Behälter]]</f>
        <v>0</v>
      </c>
      <c r="F5" s="16"/>
      <c r="G5" s="16"/>
      <c r="H5" s="16" t="str">
        <f>IF(Tabelle2151422234567[[#This Row],[Menge/ Behälter1]]="","",F5*G5)</f>
        <v/>
      </c>
      <c r="I5" s="10"/>
    </row>
    <row r="6" spans="1:9" ht="24" customHeight="1" x14ac:dyDescent="0.3">
      <c r="A6" s="8">
        <v>3</v>
      </c>
      <c r="B6" s="9"/>
      <c r="C6" s="9"/>
      <c r="D6" s="9"/>
      <c r="E6" s="9"/>
      <c r="F6" s="16"/>
      <c r="G6" s="16"/>
      <c r="H6" s="16" t="str">
        <f>IF(Tabelle2151422234567[[#This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IF(Tabelle2151422234567[[#This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IF(Tabelle2151422234567[[#This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IF(Tabelle2151422234567[[#This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IF(Tabelle2151422234567[[#This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IF(Tabelle2151422234567[[#This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IF(Tabelle2151422234567[[#This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IF(Tabelle2151422234567[[#This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IF(Tabelle2151422234567[[#This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IF(Tabelle2151422234567[[#This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IF(Tabelle2151422234567[[#This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IF(Tabelle2151422234567[[#This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IF(Tabelle2151422234567[[#This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IF(Tabelle2151422234567[[#This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IF(Tabelle2151422234567[[#This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IF(Tabelle2151422234567[[#This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IF(Tabelle2151422234567[[#This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IF(Tabelle2151422234567[[#This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SUBTOTAL(109,Tabelle2151422234567[Anzahl Behälter])</f>
        <v>0</v>
      </c>
      <c r="E24" s="12">
        <f>SUBTOTAL(109,Tabelle2151422234567[Gesamt-menge])</f>
        <v>0</v>
      </c>
      <c r="F24" s="17"/>
      <c r="G24" s="17">
        <f>SUBTOTAL(109,Tabelle2151422234567[Anzahl Behälter1])</f>
        <v>100</v>
      </c>
      <c r="H24" s="17">
        <f>SUBTOTAL(109,Tabelle2151422234567[Gesamt-menge1])</f>
        <v>24000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3443-097C-4756-AF43-13FDD1105EA3}">
  <dimension ref="A1:I26"/>
  <sheetViews>
    <sheetView view="pageLayout" zoomScaleNormal="100" workbookViewId="0">
      <selection activeCell="F1" sqref="F1:I1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.6640625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38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10</v>
      </c>
      <c r="C4" s="9"/>
      <c r="D4" s="9"/>
      <c r="E4" s="9">
        <f>Tabelle21514222345678[[#This Row],[Menge/ Behälter]]*Tabelle21514222345678[[#This Row],[Anzahl Behälter]]</f>
        <v>0</v>
      </c>
      <c r="F4" s="16">
        <v>240</v>
      </c>
      <c r="G4" s="16">
        <v>100</v>
      </c>
      <c r="H4" s="16">
        <f>IF(Tabelle21514222345678[[#This Row],[Menge/ Behälter1]]="","",F4*G4)</f>
        <v>24000</v>
      </c>
      <c r="I4" s="10"/>
    </row>
    <row r="5" spans="1:9" ht="24" customHeight="1" x14ac:dyDescent="0.3">
      <c r="A5" s="8">
        <v>2</v>
      </c>
      <c r="B5" s="31"/>
      <c r="C5" s="9"/>
      <c r="D5" s="9"/>
      <c r="E5" s="9">
        <f>Tabelle21514222345678[[#This Row],[Menge/ Behälter]]*Tabelle21514222345678[[#This Row],[Anzahl Behälter]]</f>
        <v>0</v>
      </c>
      <c r="F5" s="16"/>
      <c r="G5" s="16"/>
      <c r="H5" s="16" t="str">
        <f>IF(Tabelle21514222345678[[#This Row],[Menge/ Behälter1]]="","",F5*G5)</f>
        <v/>
      </c>
      <c r="I5" s="10"/>
    </row>
    <row r="6" spans="1:9" ht="24" customHeight="1" x14ac:dyDescent="0.3">
      <c r="A6" s="8">
        <v>3</v>
      </c>
      <c r="B6" s="9"/>
      <c r="C6" s="9"/>
      <c r="D6" s="9"/>
      <c r="E6" s="9"/>
      <c r="F6" s="16"/>
      <c r="G6" s="16"/>
      <c r="H6" s="16" t="str">
        <f>IF(Tabelle21514222345678[[#This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IF(Tabelle21514222345678[[#This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IF(Tabelle21514222345678[[#This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IF(Tabelle21514222345678[[#This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IF(Tabelle21514222345678[[#This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IF(Tabelle21514222345678[[#This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IF(Tabelle21514222345678[[#This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IF(Tabelle21514222345678[[#This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IF(Tabelle21514222345678[[#This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IF(Tabelle21514222345678[[#This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IF(Tabelle21514222345678[[#This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IF(Tabelle21514222345678[[#This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IF(Tabelle21514222345678[[#This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IF(Tabelle21514222345678[[#This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IF(Tabelle21514222345678[[#This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IF(Tabelle21514222345678[[#This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IF(Tabelle21514222345678[[#This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IF(Tabelle21514222345678[[#This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SUBTOTAL(109,Tabelle21514222345678[Anzahl Behälter])</f>
        <v>0</v>
      </c>
      <c r="E24" s="12">
        <f>SUBTOTAL(109,Tabelle21514222345678[Gesamt-menge])</f>
        <v>0</v>
      </c>
      <c r="F24" s="17"/>
      <c r="G24" s="17">
        <f>SUBTOTAL(109,Tabelle21514222345678[Anzahl Behälter1])</f>
        <v>100</v>
      </c>
      <c r="H24" s="17">
        <f>SUBTOTAL(109,Tabelle21514222345678[Gesamt-menge1])</f>
        <v>24000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5644-F016-4B88-BEC1-5138609B95B1}">
  <dimension ref="A1:I26"/>
  <sheetViews>
    <sheetView view="pageLayout" zoomScaleNormal="100" workbookViewId="0">
      <selection activeCell="B4" sqref="B4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.6640625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39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32</v>
      </c>
      <c r="C4" s="9"/>
      <c r="D4" s="9"/>
      <c r="E4" s="9">
        <f>Tabelle215142223456789[[#This Row],[Menge/ Behälter]]*Tabelle215142223456789[[#This Row],[Anzahl Behälter]]</f>
        <v>0</v>
      </c>
      <c r="F4" s="16">
        <v>240</v>
      </c>
      <c r="G4" s="16">
        <v>100</v>
      </c>
      <c r="H4" s="16">
        <f>IF(Tabelle215142223456789[[#This Row],[Menge/ Behälter1]]="","",F4*G4)</f>
        <v>24000</v>
      </c>
      <c r="I4" s="10"/>
    </row>
    <row r="5" spans="1:9" ht="24" customHeight="1" x14ac:dyDescent="0.3">
      <c r="A5" s="8">
        <v>2</v>
      </c>
      <c r="B5" s="31"/>
      <c r="C5" s="9"/>
      <c r="D5" s="9"/>
      <c r="E5" s="9">
        <f>Tabelle215142223456789[[#This Row],[Menge/ Behälter]]*Tabelle215142223456789[[#This Row],[Anzahl Behälter]]</f>
        <v>0</v>
      </c>
      <c r="F5" s="16"/>
      <c r="G5" s="16"/>
      <c r="H5" s="16" t="str">
        <f>IF(Tabelle215142223456789[[#This Row],[Menge/ Behälter1]]="","",F5*G5)</f>
        <v/>
      </c>
      <c r="I5" s="10"/>
    </row>
    <row r="6" spans="1:9" ht="24" customHeight="1" x14ac:dyDescent="0.3">
      <c r="A6" s="8">
        <v>3</v>
      </c>
      <c r="B6" s="9"/>
      <c r="C6" s="9"/>
      <c r="D6" s="9"/>
      <c r="E6" s="9"/>
      <c r="F6" s="16"/>
      <c r="G6" s="16"/>
      <c r="H6" s="16" t="str">
        <f>IF(Tabelle215142223456789[[#This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IF(Tabelle215142223456789[[#This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IF(Tabelle215142223456789[[#This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IF(Tabelle215142223456789[[#This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IF(Tabelle215142223456789[[#This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IF(Tabelle215142223456789[[#This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IF(Tabelle215142223456789[[#This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IF(Tabelle215142223456789[[#This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IF(Tabelle215142223456789[[#This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IF(Tabelle215142223456789[[#This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IF(Tabelle215142223456789[[#This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IF(Tabelle215142223456789[[#This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IF(Tabelle215142223456789[[#This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IF(Tabelle215142223456789[[#This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IF(Tabelle215142223456789[[#This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IF(Tabelle215142223456789[[#This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IF(Tabelle215142223456789[[#This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IF(Tabelle215142223456789[[#This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SUBTOTAL(109,Tabelle215142223456789[Anzahl Behälter])</f>
        <v>0</v>
      </c>
      <c r="E24" s="12">
        <f>SUBTOTAL(109,Tabelle215142223456789[Gesamt-menge])</f>
        <v>0</v>
      </c>
      <c r="F24" s="17"/>
      <c r="G24" s="17">
        <f>SUBTOTAL(109,Tabelle215142223456789[Anzahl Behälter1])</f>
        <v>100</v>
      </c>
      <c r="H24" s="17">
        <f>SUBTOTAL(109,Tabelle215142223456789[Gesamt-menge1])</f>
        <v>24000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ACC6-A620-4D7B-97A1-2E99EAA5E2F3}">
  <dimension ref="A1:I26"/>
  <sheetViews>
    <sheetView view="pageLayout" zoomScaleNormal="100" workbookViewId="0">
      <selection activeCell="B4" sqref="B4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.6640625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40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32</v>
      </c>
      <c r="C4" s="9"/>
      <c r="D4" s="9"/>
      <c r="E4" s="9">
        <f>Tabelle21514222345678910[[#This Row],[Menge/ Behälter]]*Tabelle21514222345678910[[#This Row],[Anzahl Behälter]]</f>
        <v>0</v>
      </c>
      <c r="F4" s="16">
        <v>240</v>
      </c>
      <c r="G4" s="16">
        <v>100</v>
      </c>
      <c r="H4" s="16">
        <f>IF(Tabelle21514222345678910[[#This Row],[Menge/ Behälter1]]="","",F4*G4)</f>
        <v>24000</v>
      </c>
      <c r="I4" s="10"/>
    </row>
    <row r="5" spans="1:9" ht="24" customHeight="1" x14ac:dyDescent="0.3">
      <c r="A5" s="8">
        <v>2</v>
      </c>
      <c r="B5" s="31"/>
      <c r="C5" s="9"/>
      <c r="D5" s="9"/>
      <c r="E5" s="9">
        <f>Tabelle21514222345678910[[#This Row],[Menge/ Behälter]]*Tabelle21514222345678910[[#This Row],[Anzahl Behälter]]</f>
        <v>0</v>
      </c>
      <c r="F5" s="16"/>
      <c r="G5" s="16"/>
      <c r="H5" s="16" t="str">
        <f>IF(Tabelle21514222345678910[[#This Row],[Menge/ Behälter1]]="","",F5*G5)</f>
        <v/>
      </c>
      <c r="I5" s="10"/>
    </row>
    <row r="6" spans="1:9" ht="24" customHeight="1" x14ac:dyDescent="0.3">
      <c r="A6" s="8">
        <v>3</v>
      </c>
      <c r="B6" s="9"/>
      <c r="C6" s="9"/>
      <c r="D6" s="9"/>
      <c r="E6" s="9"/>
      <c r="F6" s="16"/>
      <c r="G6" s="16"/>
      <c r="H6" s="16" t="str">
        <f>IF(Tabelle21514222345678910[[#This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IF(Tabelle21514222345678910[[#This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IF(Tabelle21514222345678910[[#This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IF(Tabelle21514222345678910[[#This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IF(Tabelle21514222345678910[[#This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IF(Tabelle21514222345678910[[#This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IF(Tabelle21514222345678910[[#This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IF(Tabelle21514222345678910[[#This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IF(Tabelle21514222345678910[[#This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IF(Tabelle21514222345678910[[#This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IF(Tabelle21514222345678910[[#This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IF(Tabelle21514222345678910[[#This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IF(Tabelle21514222345678910[[#This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IF(Tabelle21514222345678910[[#This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IF(Tabelle21514222345678910[[#This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IF(Tabelle21514222345678910[[#This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IF(Tabelle21514222345678910[[#This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IF(Tabelle21514222345678910[[#This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SUBTOTAL(109,Tabelle21514222345678910[Anzahl Behälter])</f>
        <v>0</v>
      </c>
      <c r="E24" s="12">
        <f>SUBTOTAL(109,Tabelle21514222345678910[Gesamt-menge])</f>
        <v>0</v>
      </c>
      <c r="F24" s="17"/>
      <c r="G24" s="17">
        <f>SUBTOTAL(109,Tabelle21514222345678910[Anzahl Behälter1])</f>
        <v>100</v>
      </c>
      <c r="H24" s="17">
        <f>SUBTOTAL(109,Tabelle21514222345678910[Gesamt-menge1])</f>
        <v>24000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5FEB-7A45-4E41-9D36-EA69FE7421D5}">
  <dimension ref="A1:I26"/>
  <sheetViews>
    <sheetView view="pageLayout" zoomScaleNormal="100" workbookViewId="0">
      <selection activeCell="F5" sqref="F5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.6640625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41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8</v>
      </c>
      <c r="C4" s="9"/>
      <c r="D4" s="9"/>
      <c r="E4" s="9">
        <f>Tabelle2151422234567891011[[#This Row],[Menge/ Behälter]]*Tabelle2151422234567891011[[#This Row],[Anzahl Behälter]]</f>
        <v>0</v>
      </c>
      <c r="F4" s="16">
        <v>90</v>
      </c>
      <c r="G4" s="16">
        <v>100</v>
      </c>
      <c r="H4" s="16">
        <f>IF(Tabelle2151422234567891011[[#This Row],[Menge/ Behälter1]]="","",F4*G4)</f>
        <v>9000</v>
      </c>
      <c r="I4" s="10"/>
    </row>
    <row r="5" spans="1:9" ht="24" customHeight="1" x14ac:dyDescent="0.3">
      <c r="A5" s="8">
        <v>2</v>
      </c>
      <c r="B5" s="31"/>
      <c r="C5" s="9"/>
      <c r="D5" s="9"/>
      <c r="E5" s="9">
        <f>Tabelle2151422234567891011[[#This Row],[Menge/ Behälter]]*Tabelle2151422234567891011[[#This Row],[Anzahl Behälter]]</f>
        <v>0</v>
      </c>
      <c r="F5" s="16"/>
      <c r="G5" s="16"/>
      <c r="H5" s="16" t="str">
        <f>IF(Tabelle2151422234567891011[[#This Row],[Menge/ Behälter1]]="","",F5*G5)</f>
        <v/>
      </c>
      <c r="I5" s="10"/>
    </row>
    <row r="6" spans="1:9" ht="24" customHeight="1" x14ac:dyDescent="0.3">
      <c r="A6" s="8">
        <v>3</v>
      </c>
      <c r="B6" s="9"/>
      <c r="C6" s="9"/>
      <c r="D6" s="9"/>
      <c r="E6" s="9"/>
      <c r="F6" s="16"/>
      <c r="G6" s="16"/>
      <c r="H6" s="16" t="str">
        <f>IF(Tabelle2151422234567891011[[#This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IF(Tabelle2151422234567891011[[#This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IF(Tabelle2151422234567891011[[#This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IF(Tabelle2151422234567891011[[#This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IF(Tabelle2151422234567891011[[#This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IF(Tabelle2151422234567891011[[#This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IF(Tabelle2151422234567891011[[#This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IF(Tabelle2151422234567891011[[#This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IF(Tabelle2151422234567891011[[#This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IF(Tabelle2151422234567891011[[#This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IF(Tabelle2151422234567891011[[#This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IF(Tabelle2151422234567891011[[#This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IF(Tabelle2151422234567891011[[#This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IF(Tabelle2151422234567891011[[#This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IF(Tabelle2151422234567891011[[#This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IF(Tabelle2151422234567891011[[#This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IF(Tabelle2151422234567891011[[#This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IF(Tabelle2151422234567891011[[#This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SUBTOTAL(109,Tabelle2151422234567891011[Anzahl Behälter])</f>
        <v>0</v>
      </c>
      <c r="E24" s="12">
        <f>SUBTOTAL(109,Tabelle2151422234567891011[Gesamt-menge])</f>
        <v>0</v>
      </c>
      <c r="F24" s="17"/>
      <c r="G24" s="17">
        <f>SUBTOTAL(109,Tabelle2151422234567891011[Anzahl Behälter1])</f>
        <v>100</v>
      </c>
      <c r="H24" s="17">
        <f>SUBTOTAL(109,Tabelle2151422234567891011[Gesamt-menge1])</f>
        <v>9000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7DD8C-2E46-476B-8707-B4D1C1C2339A}">
  <dimension ref="A1:I26"/>
  <sheetViews>
    <sheetView view="pageLayout" zoomScaleNormal="100" workbookViewId="0">
      <selection activeCell="G4" sqref="G4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.6640625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42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35</v>
      </c>
      <c r="C4" s="9"/>
      <c r="D4" s="9"/>
      <c r="E4" s="9">
        <f>Tabelle215142223456789101112[[#This Row],[Menge/ Behälter]]*Tabelle215142223456789101112[[#This Row],[Anzahl Behälter]]</f>
        <v>0</v>
      </c>
      <c r="F4" s="16">
        <v>120</v>
      </c>
      <c r="G4" s="16">
        <v>100</v>
      </c>
      <c r="H4" s="16">
        <f>IF(Tabelle215142223456789101112[[#This Row],[Menge/ Behälter1]]="","",F4*G4)</f>
        <v>12000</v>
      </c>
      <c r="I4" s="10"/>
    </row>
    <row r="5" spans="1:9" ht="24" customHeight="1" x14ac:dyDescent="0.3">
      <c r="A5" s="8">
        <v>2</v>
      </c>
      <c r="B5" s="31"/>
      <c r="C5" s="9"/>
      <c r="D5" s="9"/>
      <c r="E5" s="9">
        <f>Tabelle215142223456789101112[[#This Row],[Menge/ Behälter]]*Tabelle215142223456789101112[[#This Row],[Anzahl Behälter]]</f>
        <v>0</v>
      </c>
      <c r="F5" s="16"/>
      <c r="G5" s="16"/>
      <c r="H5" s="16" t="str">
        <f>IF(Tabelle215142223456789101112[[#This Row],[Menge/ Behälter1]]="","",F5*G5)</f>
        <v/>
      </c>
      <c r="I5" s="10"/>
    </row>
    <row r="6" spans="1:9" ht="24" customHeight="1" x14ac:dyDescent="0.3">
      <c r="A6" s="8">
        <v>3</v>
      </c>
      <c r="B6" s="9"/>
      <c r="C6" s="9"/>
      <c r="D6" s="9"/>
      <c r="E6" s="9"/>
      <c r="F6" s="16"/>
      <c r="G6" s="16"/>
      <c r="H6" s="16" t="str">
        <f>IF(Tabelle215142223456789101112[[#This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IF(Tabelle215142223456789101112[[#This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IF(Tabelle215142223456789101112[[#This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IF(Tabelle215142223456789101112[[#This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IF(Tabelle215142223456789101112[[#This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IF(Tabelle215142223456789101112[[#This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IF(Tabelle215142223456789101112[[#This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IF(Tabelle215142223456789101112[[#This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IF(Tabelle215142223456789101112[[#This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IF(Tabelle215142223456789101112[[#This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IF(Tabelle215142223456789101112[[#This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IF(Tabelle215142223456789101112[[#This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IF(Tabelle215142223456789101112[[#This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IF(Tabelle215142223456789101112[[#This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IF(Tabelle215142223456789101112[[#This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IF(Tabelle215142223456789101112[[#This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IF(Tabelle215142223456789101112[[#This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IF(Tabelle215142223456789101112[[#This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SUBTOTAL(109,Tabelle215142223456789101112[Anzahl Behälter])</f>
        <v>0</v>
      </c>
      <c r="E24" s="12">
        <f>SUBTOTAL(109,Tabelle215142223456789101112[Gesamt-menge])</f>
        <v>0</v>
      </c>
      <c r="F24" s="17"/>
      <c r="G24" s="17">
        <f>SUBTOTAL(109,Tabelle215142223456789101112[Anzahl Behälter1])</f>
        <v>100</v>
      </c>
      <c r="H24" s="17">
        <f>SUBTOTAL(109,Tabelle215142223456789101112[Gesamt-menge1])</f>
        <v>12000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C5E2-1642-457A-8719-BEB238B30B34}">
  <dimension ref="A1:I26"/>
  <sheetViews>
    <sheetView view="pageLayout" zoomScaleNormal="100" workbookViewId="0">
      <selection activeCell="F5" sqref="F5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.6640625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43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35</v>
      </c>
      <c r="C4" s="9"/>
      <c r="D4" s="9"/>
      <c r="E4" s="9">
        <f>Tabelle21514222345678910111213[[#This Row],[Menge/ Behälter]]*Tabelle21514222345678910111213[[#This Row],[Anzahl Behälter]]</f>
        <v>0</v>
      </c>
      <c r="F4" s="16">
        <v>120</v>
      </c>
      <c r="G4" s="16">
        <v>100</v>
      </c>
      <c r="H4" s="16">
        <f>IF(Tabelle21514222345678910111213[[#This Row],[Menge/ Behälter1]]="","",F4*G4)</f>
        <v>12000</v>
      </c>
      <c r="I4" s="10"/>
    </row>
    <row r="5" spans="1:9" ht="24" customHeight="1" x14ac:dyDescent="0.3">
      <c r="A5" s="8">
        <v>2</v>
      </c>
      <c r="B5" s="31"/>
      <c r="C5" s="9"/>
      <c r="D5" s="9"/>
      <c r="E5" s="9">
        <f>Tabelle21514222345678910111213[[#This Row],[Menge/ Behälter]]*Tabelle21514222345678910111213[[#This Row],[Anzahl Behälter]]</f>
        <v>0</v>
      </c>
      <c r="F5" s="16"/>
      <c r="G5" s="16"/>
      <c r="H5" s="16" t="str">
        <f>IF(Tabelle21514222345678910111213[[#This Row],[Menge/ Behälter1]]="","",F5*G5)</f>
        <v/>
      </c>
      <c r="I5" s="10"/>
    </row>
    <row r="6" spans="1:9" ht="24" customHeight="1" x14ac:dyDescent="0.3">
      <c r="A6" s="8">
        <v>3</v>
      </c>
      <c r="B6" s="9"/>
      <c r="C6" s="9"/>
      <c r="D6" s="9"/>
      <c r="E6" s="9"/>
      <c r="F6" s="16"/>
      <c r="G6" s="16"/>
      <c r="H6" s="16" t="str">
        <f>IF(Tabelle21514222345678910111213[[#This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IF(Tabelle21514222345678910111213[[#This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IF(Tabelle21514222345678910111213[[#This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IF(Tabelle21514222345678910111213[[#This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IF(Tabelle21514222345678910111213[[#This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IF(Tabelle21514222345678910111213[[#This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IF(Tabelle21514222345678910111213[[#This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IF(Tabelle21514222345678910111213[[#This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IF(Tabelle21514222345678910111213[[#This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IF(Tabelle21514222345678910111213[[#This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IF(Tabelle21514222345678910111213[[#This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IF(Tabelle21514222345678910111213[[#This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IF(Tabelle21514222345678910111213[[#This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IF(Tabelle21514222345678910111213[[#This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IF(Tabelle21514222345678910111213[[#This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IF(Tabelle21514222345678910111213[[#This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IF(Tabelle21514222345678910111213[[#This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IF(Tabelle21514222345678910111213[[#This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SUBTOTAL(109,Tabelle21514222345678910111213[Anzahl Behälter])</f>
        <v>0</v>
      </c>
      <c r="E24" s="12">
        <f>SUBTOTAL(109,Tabelle21514222345678910111213[Gesamt-menge])</f>
        <v>0</v>
      </c>
      <c r="F24" s="17"/>
      <c r="G24" s="17">
        <f>SUBTOTAL(109,Tabelle21514222345678910111213[Anzahl Behälter1])</f>
        <v>100</v>
      </c>
      <c r="H24" s="17">
        <f>SUBTOTAL(109,Tabelle21514222345678910111213[Gesamt-menge1])</f>
        <v>12000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A64A3-9680-4B10-90C9-4BA96F6660AA}">
  <dimension ref="A1:I26"/>
  <sheetViews>
    <sheetView view="pageLayout" zoomScaleNormal="100" workbookViewId="0">
      <selection activeCell="F6" sqref="F6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.6640625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44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8</v>
      </c>
      <c r="C4" s="9"/>
      <c r="D4" s="9"/>
      <c r="E4" s="9">
        <f>Tabelle2151422234567891011121314[[#This Row],[Menge/ Behälter]]*Tabelle2151422234567891011121314[[#This Row],[Anzahl Behälter]]</f>
        <v>0</v>
      </c>
      <c r="F4" s="16">
        <v>90</v>
      </c>
      <c r="G4" s="16">
        <v>99</v>
      </c>
      <c r="H4" s="16">
        <f>IF(Tabelle2151422234567891011121314[[#This Row],[Menge/ Behälter1]]="","",F4*G4)</f>
        <v>8910</v>
      </c>
      <c r="I4" s="10"/>
    </row>
    <row r="5" spans="1:9" ht="24" customHeight="1" x14ac:dyDescent="0.3">
      <c r="A5" s="8">
        <v>2</v>
      </c>
      <c r="B5" s="31" t="s">
        <v>35</v>
      </c>
      <c r="C5" s="9"/>
      <c r="D5" s="9"/>
      <c r="E5" s="9">
        <f>Tabelle2151422234567891011121314[[#This Row],[Menge/ Behälter]]*Tabelle2151422234567891011121314[[#This Row],[Anzahl Behälter]]</f>
        <v>0</v>
      </c>
      <c r="F5" s="16">
        <v>120</v>
      </c>
      <c r="G5" s="16">
        <v>1</v>
      </c>
      <c r="H5" s="16">
        <f>IF(Tabelle2151422234567891011121314[[#This Row],[Menge/ Behälter1]]="","",F5*G5)</f>
        <v>120</v>
      </c>
      <c r="I5" s="10"/>
    </row>
    <row r="6" spans="1:9" ht="24" customHeight="1" x14ac:dyDescent="0.3">
      <c r="A6" s="8">
        <v>3</v>
      </c>
      <c r="B6" s="9"/>
      <c r="C6" s="9"/>
      <c r="D6" s="9"/>
      <c r="E6" s="9"/>
      <c r="F6" s="16"/>
      <c r="G6" s="16"/>
      <c r="H6" s="16" t="str">
        <f>IF(Tabelle2151422234567891011121314[[#This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IF(Tabelle2151422234567891011121314[[#This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IF(Tabelle2151422234567891011121314[[#This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IF(Tabelle2151422234567891011121314[[#This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IF(Tabelle2151422234567891011121314[[#This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IF(Tabelle2151422234567891011121314[[#This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IF(Tabelle2151422234567891011121314[[#This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IF(Tabelle2151422234567891011121314[[#This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IF(Tabelle2151422234567891011121314[[#This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IF(Tabelle2151422234567891011121314[[#This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IF(Tabelle2151422234567891011121314[[#This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IF(Tabelle2151422234567891011121314[[#This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IF(Tabelle2151422234567891011121314[[#This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IF(Tabelle2151422234567891011121314[[#This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IF(Tabelle2151422234567891011121314[[#This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IF(Tabelle2151422234567891011121314[[#This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IF(Tabelle2151422234567891011121314[[#This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IF(Tabelle2151422234567891011121314[[#This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SUBTOTAL(109,Tabelle2151422234567891011121314[Anzahl Behälter])</f>
        <v>0</v>
      </c>
      <c r="E24" s="12">
        <f>SUBTOTAL(109,Tabelle2151422234567891011121314[Gesamt-menge])</f>
        <v>0</v>
      </c>
      <c r="F24" s="17"/>
      <c r="G24" s="17">
        <f>SUBTOTAL(109,Tabelle2151422234567891011121314[Anzahl Behälter1])</f>
        <v>100</v>
      </c>
      <c r="H24" s="17">
        <f>SUBTOTAL(109,Tabelle2151422234567891011121314[Gesamt-menge1])</f>
        <v>9030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C19D-82E3-41AA-A870-E2794156A6EE}">
  <dimension ref="A1:I26"/>
  <sheetViews>
    <sheetView view="pageLayout" zoomScaleNormal="100" workbookViewId="0">
      <selection activeCell="G5" sqref="G5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.6640625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45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46</v>
      </c>
      <c r="C4" s="9"/>
      <c r="D4" s="9"/>
      <c r="E4" s="9">
        <f>Tabelle215142223456789101112131415[[#This Row],[Menge/ Behälter]]*Tabelle215142223456789101112131415[[#This Row],[Anzahl Behälter]]</f>
        <v>0</v>
      </c>
      <c r="F4" s="16">
        <v>480</v>
      </c>
      <c r="G4" s="16">
        <v>58</v>
      </c>
      <c r="H4" s="16">
        <f>IF(Tabelle215142223456789101112131415[[#This Row],[Menge/ Behälter1]]="","",F4*G4)</f>
        <v>27840</v>
      </c>
      <c r="I4" s="10"/>
    </row>
    <row r="5" spans="1:9" ht="24" customHeight="1" x14ac:dyDescent="0.3">
      <c r="A5" s="8">
        <v>2</v>
      </c>
      <c r="B5" s="31"/>
      <c r="C5" s="9"/>
      <c r="D5" s="9"/>
      <c r="E5" s="9">
        <f>Tabelle215142223456789101112131415[[#This Row],[Menge/ Behälter]]*Tabelle215142223456789101112131415[[#This Row],[Anzahl Behälter]]</f>
        <v>0</v>
      </c>
      <c r="F5" s="16"/>
      <c r="G5" s="16"/>
      <c r="H5" s="16" t="str">
        <f>IF(Tabelle215142223456789101112131415[[#This Row],[Menge/ Behälter1]]="","",F5*G5)</f>
        <v/>
      </c>
      <c r="I5" s="10"/>
    </row>
    <row r="6" spans="1:9" ht="24" customHeight="1" x14ac:dyDescent="0.3">
      <c r="A6" s="8">
        <v>3</v>
      </c>
      <c r="B6" s="9"/>
      <c r="C6" s="9"/>
      <c r="D6" s="9"/>
      <c r="E6" s="9"/>
      <c r="F6" s="16"/>
      <c r="G6" s="16"/>
      <c r="H6" s="16" t="str">
        <f>IF(Tabelle215142223456789101112131415[[#This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IF(Tabelle215142223456789101112131415[[#This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IF(Tabelle215142223456789101112131415[[#This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IF(Tabelle215142223456789101112131415[[#This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IF(Tabelle215142223456789101112131415[[#This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IF(Tabelle215142223456789101112131415[[#This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IF(Tabelle215142223456789101112131415[[#This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IF(Tabelle215142223456789101112131415[[#This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IF(Tabelle215142223456789101112131415[[#This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IF(Tabelle215142223456789101112131415[[#This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IF(Tabelle215142223456789101112131415[[#This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IF(Tabelle215142223456789101112131415[[#This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IF(Tabelle215142223456789101112131415[[#This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IF(Tabelle215142223456789101112131415[[#This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IF(Tabelle215142223456789101112131415[[#This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IF(Tabelle215142223456789101112131415[[#This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IF(Tabelle215142223456789101112131415[[#This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IF(Tabelle215142223456789101112131415[[#This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SUBTOTAL(109,Tabelle215142223456789101112131415[Anzahl Behälter])</f>
        <v>0</v>
      </c>
      <c r="E24" s="12">
        <f>SUBTOTAL(109,Tabelle215142223456789101112131415[Gesamt-menge])</f>
        <v>0</v>
      </c>
      <c r="F24" s="17"/>
      <c r="G24" s="17">
        <f>SUBTOTAL(109,Tabelle215142223456789101112131415[Anzahl Behälter1])</f>
        <v>58</v>
      </c>
      <c r="H24" s="17">
        <f>SUBTOTAL(109,Tabelle215142223456789101112131415[Gesamt-menge1])</f>
        <v>27840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14D5-D2A5-44A8-923F-BD8A042A5F3B}">
  <dimension ref="A1:I26"/>
  <sheetViews>
    <sheetView view="pageLayout" zoomScaleNormal="100" workbookViewId="0">
      <selection activeCell="B6" sqref="B6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.6640625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47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32</v>
      </c>
      <c r="C4" s="9"/>
      <c r="D4" s="9"/>
      <c r="E4" s="9">
        <f>Tabelle21514222345678910111213141516[[#This Row],[Menge/ Behälter]]*Tabelle21514222345678910111213141516[[#This Row],[Anzahl Behälter]]</f>
        <v>0</v>
      </c>
      <c r="F4" s="16">
        <v>240</v>
      </c>
      <c r="G4" s="16">
        <v>75</v>
      </c>
      <c r="H4" s="16">
        <f>IF(Tabelle21514222345678910111213141516[[#This Row],[Menge/ Behälter1]]="","",F4*G4)</f>
        <v>18000</v>
      </c>
      <c r="I4" s="10"/>
    </row>
    <row r="5" spans="1:9" ht="24" customHeight="1" x14ac:dyDescent="0.3">
      <c r="A5" s="8">
        <v>2</v>
      </c>
      <c r="B5" s="32" t="s">
        <v>32</v>
      </c>
      <c r="C5" s="9"/>
      <c r="D5" s="9"/>
      <c r="E5" s="9">
        <f>Tabelle21514222345678910111213141516[[#This Row],[Menge/ Behälter]]*Tabelle21514222345678910111213141516[[#This Row],[Anzahl Behälter]]</f>
        <v>0</v>
      </c>
      <c r="F5" s="16">
        <v>200</v>
      </c>
      <c r="G5" s="16">
        <v>2</v>
      </c>
      <c r="H5" s="16">
        <f>IF(Tabelle21514222345678910111213141516[[#This Row],[Menge/ Behälter1]]="","",F5*G5)</f>
        <v>400</v>
      </c>
      <c r="I5" s="10"/>
    </row>
    <row r="6" spans="1:9" ht="24" customHeight="1" x14ac:dyDescent="0.3">
      <c r="A6" s="8">
        <v>3</v>
      </c>
      <c r="B6" s="32"/>
      <c r="C6" s="9"/>
      <c r="D6" s="9"/>
      <c r="E6" s="9"/>
      <c r="F6" s="16"/>
      <c r="G6" s="16"/>
      <c r="H6" s="16" t="str">
        <f>IF(Tabelle21514222345678910111213141516[[#This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IF(Tabelle21514222345678910111213141516[[#This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IF(Tabelle21514222345678910111213141516[[#This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IF(Tabelle21514222345678910111213141516[[#This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IF(Tabelle21514222345678910111213141516[[#This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IF(Tabelle21514222345678910111213141516[[#This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IF(Tabelle21514222345678910111213141516[[#This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IF(Tabelle21514222345678910111213141516[[#This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IF(Tabelle21514222345678910111213141516[[#This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IF(Tabelle21514222345678910111213141516[[#This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IF(Tabelle21514222345678910111213141516[[#This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IF(Tabelle21514222345678910111213141516[[#This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IF(Tabelle21514222345678910111213141516[[#This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IF(Tabelle21514222345678910111213141516[[#This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IF(Tabelle21514222345678910111213141516[[#This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IF(Tabelle21514222345678910111213141516[[#This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IF(Tabelle21514222345678910111213141516[[#This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IF(Tabelle21514222345678910111213141516[[#This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SUBTOTAL(109,Tabelle21514222345678910111213141516[Anzahl Behälter])</f>
        <v>0</v>
      </c>
      <c r="E24" s="12">
        <f>SUBTOTAL(109,Tabelle21514222345678910111213141516[Gesamt-menge])</f>
        <v>0</v>
      </c>
      <c r="F24" s="17"/>
      <c r="G24" s="17">
        <f>SUBTOTAL(109,Tabelle21514222345678910111213141516[Anzahl Behälter1])</f>
        <v>77</v>
      </c>
      <c r="H24" s="17">
        <f>SUBTOTAL(109,Tabelle21514222345678910111213141516[Gesamt-menge1])</f>
        <v>18400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E0BE-D0BF-4579-A5BB-DC26B6585070}">
  <dimension ref="A1:I26"/>
  <sheetViews>
    <sheetView view="pageLayout" zoomScaleNormal="100" workbookViewId="0">
      <selection activeCell="G5" sqref="G5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48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35</v>
      </c>
      <c r="C4" s="9"/>
      <c r="D4" s="9"/>
      <c r="E4" s="9">
        <f>Tabelle2151422234567891011121314151617[[#This Row],[Menge/ Behälter]]*Tabelle2151422234567891011121314151617[[#This Row],[Anzahl Behälter]]</f>
        <v>0</v>
      </c>
      <c r="F4" s="16">
        <v>120</v>
      </c>
      <c r="G4" s="16">
        <v>99</v>
      </c>
      <c r="H4" s="16">
        <f>IF(Tabelle2151422234567891011121314151617[[#This Row],[Menge/ Behälter1]]="","",F4*G4)</f>
        <v>11880</v>
      </c>
      <c r="I4" s="10"/>
    </row>
    <row r="5" spans="1:9" ht="24" customHeight="1" x14ac:dyDescent="0.3">
      <c r="A5" s="8">
        <v>2</v>
      </c>
      <c r="B5" s="32" t="s">
        <v>32</v>
      </c>
      <c r="C5" s="9"/>
      <c r="D5" s="9"/>
      <c r="E5" s="9">
        <f>Tabelle2151422234567891011121314151617[[#This Row],[Menge/ Behälter]]*Tabelle2151422234567891011121314151617[[#This Row],[Anzahl Behälter]]</f>
        <v>0</v>
      </c>
      <c r="F5" s="16">
        <v>240</v>
      </c>
      <c r="G5" s="16">
        <v>1</v>
      </c>
      <c r="H5" s="16">
        <f>IF(Tabelle2151422234567891011121314151617[[#This Row],[Menge/ Behälter1]]="","",F5*G5)</f>
        <v>240</v>
      </c>
      <c r="I5" s="10"/>
    </row>
    <row r="6" spans="1:9" ht="24" customHeight="1" x14ac:dyDescent="0.3">
      <c r="A6" s="8">
        <v>3</v>
      </c>
      <c r="B6" s="32"/>
      <c r="C6" s="9"/>
      <c r="D6" s="9"/>
      <c r="E6" s="9"/>
      <c r="F6" s="16"/>
      <c r="G6" s="16"/>
      <c r="H6" s="16" t="str">
        <f>IF(Tabelle2151422234567891011121314151617[[#This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IF(Tabelle2151422234567891011121314151617[[#This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IF(Tabelle2151422234567891011121314151617[[#This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IF(Tabelle2151422234567891011121314151617[[#This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IF(Tabelle2151422234567891011121314151617[[#This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IF(Tabelle2151422234567891011121314151617[[#This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IF(Tabelle2151422234567891011121314151617[[#This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IF(Tabelle2151422234567891011121314151617[[#This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IF(Tabelle2151422234567891011121314151617[[#This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IF(Tabelle2151422234567891011121314151617[[#This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IF(Tabelle2151422234567891011121314151617[[#This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IF(Tabelle2151422234567891011121314151617[[#This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IF(Tabelle2151422234567891011121314151617[[#This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IF(Tabelle2151422234567891011121314151617[[#This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IF(Tabelle2151422234567891011121314151617[[#This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IF(Tabelle2151422234567891011121314151617[[#This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IF(Tabelle2151422234567891011121314151617[[#This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IF(Tabelle2151422234567891011121314151617[[#This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SUBTOTAL(109,Tabelle2151422234567891011121314151617[Anzahl Behälter])</f>
        <v>0</v>
      </c>
      <c r="E24" s="12">
        <f>SUBTOTAL(109,Tabelle2151422234567891011121314151617[Gesamt-menge])</f>
        <v>0</v>
      </c>
      <c r="F24" s="17"/>
      <c r="G24" s="17">
        <f>SUBTOTAL(109,Tabelle2151422234567891011121314151617[Anzahl Behälter1])</f>
        <v>100</v>
      </c>
      <c r="H24" s="17">
        <f>SUBTOTAL(109,Tabelle2151422234567891011121314151617[Gesamt-menge1])</f>
        <v>12120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9129-0011-454D-98D5-4ADAD6D4ABB6}">
  <dimension ref="A1:I26"/>
  <sheetViews>
    <sheetView view="pageLayout" zoomScaleNormal="100" workbookViewId="0">
      <selection activeCell="B5" sqref="B5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49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8</v>
      </c>
      <c r="C4" s="9"/>
      <c r="D4" s="9"/>
      <c r="E4" s="9">
        <f>Tabelle215142223456789101112131415161718[[#This Row],[Menge/ Behälter]]*Tabelle215142223456789101112131415161718[[#This Row],[Anzahl Behälter]]</f>
        <v>0</v>
      </c>
      <c r="F4" s="16">
        <v>90</v>
      </c>
      <c r="G4" s="16">
        <v>100</v>
      </c>
      <c r="H4" s="16">
        <f>IF(Tabelle215142223456789101112131415161718[[#This Row],[Menge/ Behälter1]]="","",F4*G4)</f>
        <v>9000</v>
      </c>
      <c r="I4" s="10"/>
    </row>
    <row r="5" spans="1:9" ht="24" customHeight="1" x14ac:dyDescent="0.3">
      <c r="A5" s="8">
        <v>2</v>
      </c>
      <c r="B5" s="32"/>
      <c r="C5" s="9"/>
      <c r="D5" s="9"/>
      <c r="E5" s="9">
        <f>Tabelle215142223456789101112131415161718[[#This Row],[Menge/ Behälter]]*Tabelle215142223456789101112131415161718[[#This Row],[Anzahl Behälter]]</f>
        <v>0</v>
      </c>
      <c r="F5" s="16"/>
      <c r="G5" s="16"/>
      <c r="H5" s="16" t="str">
        <f>IF(Tabelle215142223456789101112131415161718[[#This Row],[Menge/ Behälter1]]="","",F5*G5)</f>
        <v/>
      </c>
      <c r="I5" s="10"/>
    </row>
    <row r="6" spans="1:9" ht="24" customHeight="1" x14ac:dyDescent="0.3">
      <c r="A6" s="8">
        <v>3</v>
      </c>
      <c r="B6" s="32"/>
      <c r="C6" s="9"/>
      <c r="D6" s="9"/>
      <c r="E6" s="9"/>
      <c r="F6" s="16"/>
      <c r="G6" s="16"/>
      <c r="H6" s="16" t="str">
        <f>IF(Tabelle215142223456789101112131415161718[[#This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IF(Tabelle215142223456789101112131415161718[[#This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IF(Tabelle215142223456789101112131415161718[[#This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IF(Tabelle215142223456789101112131415161718[[#This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IF(Tabelle215142223456789101112131415161718[[#This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IF(Tabelle215142223456789101112131415161718[[#This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IF(Tabelle215142223456789101112131415161718[[#This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IF(Tabelle215142223456789101112131415161718[[#This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IF(Tabelle215142223456789101112131415161718[[#This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IF(Tabelle215142223456789101112131415161718[[#This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IF(Tabelle215142223456789101112131415161718[[#This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IF(Tabelle215142223456789101112131415161718[[#This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IF(Tabelle215142223456789101112131415161718[[#This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IF(Tabelle215142223456789101112131415161718[[#This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IF(Tabelle215142223456789101112131415161718[[#This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IF(Tabelle215142223456789101112131415161718[[#This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IF(Tabelle215142223456789101112131415161718[[#This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IF(Tabelle215142223456789101112131415161718[[#This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SUBTOTAL(109,Tabelle215142223456789101112131415161718[Anzahl Behälter])</f>
        <v>0</v>
      </c>
      <c r="E24" s="12">
        <f>SUBTOTAL(109,Tabelle215142223456789101112131415161718[Gesamt-menge])</f>
        <v>0</v>
      </c>
      <c r="F24" s="17"/>
      <c r="G24" s="17">
        <f>SUBTOTAL(109,Tabelle215142223456789101112131415161718[Anzahl Behälter1])</f>
        <v>100</v>
      </c>
      <c r="H24" s="17">
        <f>SUBTOTAL(109,Tabelle215142223456789101112131415161718[Gesamt-menge1])</f>
        <v>9000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023E-2EE9-4F23-97B8-3B17C7D200B2}">
  <dimension ref="A1:I26"/>
  <sheetViews>
    <sheetView view="pageLayout" zoomScaleNormal="100" workbookViewId="0">
      <selection activeCell="F2" sqref="F2:H2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50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8</v>
      </c>
      <c r="C4" s="9"/>
      <c r="D4" s="9"/>
      <c r="E4" s="9">
        <f>Tabelle21514222345678910111213141516171819[[#This Row],[Menge/ Behälter]]*Tabelle21514222345678910111213141516171819[[#This Row],[Anzahl Behälter]]</f>
        <v>0</v>
      </c>
      <c r="F4" s="16">
        <v>90</v>
      </c>
      <c r="G4" s="16">
        <v>100</v>
      </c>
      <c r="H4" s="16">
        <f>IF(Tabelle21514222345678910111213141516171819[[#This Row],[Menge/ Behälter1]]="","",F4*G4)</f>
        <v>9000</v>
      </c>
      <c r="I4" s="10"/>
    </row>
    <row r="5" spans="1:9" ht="24" customHeight="1" x14ac:dyDescent="0.3">
      <c r="A5" s="8">
        <v>2</v>
      </c>
      <c r="B5" s="32"/>
      <c r="C5" s="9"/>
      <c r="D5" s="9"/>
      <c r="E5" s="9">
        <f>Tabelle21514222345678910111213141516171819[[#This Row],[Menge/ Behälter]]*Tabelle21514222345678910111213141516171819[[#This Row],[Anzahl Behälter]]</f>
        <v>0</v>
      </c>
      <c r="F5" s="16"/>
      <c r="G5" s="16"/>
      <c r="H5" s="16" t="str">
        <f>IF(Tabelle21514222345678910111213141516171819[[#This Row],[Menge/ Behälter1]]="","",F5*G5)</f>
        <v/>
      </c>
      <c r="I5" s="10"/>
    </row>
    <row r="6" spans="1:9" ht="24" customHeight="1" x14ac:dyDescent="0.3">
      <c r="A6" s="8">
        <v>3</v>
      </c>
      <c r="B6" s="32"/>
      <c r="C6" s="9"/>
      <c r="D6" s="9"/>
      <c r="E6" s="9"/>
      <c r="F6" s="16"/>
      <c r="G6" s="16"/>
      <c r="H6" s="16" t="str">
        <f>IF(Tabelle21514222345678910111213141516171819[[#This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IF(Tabelle21514222345678910111213141516171819[[#This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IF(Tabelle21514222345678910111213141516171819[[#This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IF(Tabelle21514222345678910111213141516171819[[#This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IF(Tabelle21514222345678910111213141516171819[[#This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IF(Tabelle21514222345678910111213141516171819[[#This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IF(Tabelle21514222345678910111213141516171819[[#This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IF(Tabelle21514222345678910111213141516171819[[#This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IF(Tabelle21514222345678910111213141516171819[[#This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IF(Tabelle21514222345678910111213141516171819[[#This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IF(Tabelle21514222345678910111213141516171819[[#This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IF(Tabelle21514222345678910111213141516171819[[#This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IF(Tabelle21514222345678910111213141516171819[[#This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IF(Tabelle21514222345678910111213141516171819[[#This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IF(Tabelle21514222345678910111213141516171819[[#This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IF(Tabelle21514222345678910111213141516171819[[#This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IF(Tabelle21514222345678910111213141516171819[[#This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IF(Tabelle21514222345678910111213141516171819[[#This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SUBTOTAL(109,Tabelle21514222345678910111213141516171819[Anzahl Behälter])</f>
        <v>0</v>
      </c>
      <c r="E24" s="12">
        <f>SUBTOTAL(109,Tabelle21514222345678910111213141516171819[Gesamt-menge])</f>
        <v>0</v>
      </c>
      <c r="F24" s="17"/>
      <c r="G24" s="17">
        <f>SUBTOTAL(109,Tabelle21514222345678910111213141516171819[Anzahl Behälter1])</f>
        <v>100</v>
      </c>
      <c r="H24" s="17">
        <f>SUBTOTAL(109,Tabelle21514222345678910111213141516171819[Gesamt-menge1])</f>
        <v>9000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CAC67-1F5A-4279-81F3-8357EB609A76}">
  <dimension ref="A1:I26"/>
  <sheetViews>
    <sheetView view="pageLayout" zoomScaleNormal="100" workbookViewId="0">
      <selection activeCell="G7" sqref="G7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51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32</v>
      </c>
      <c r="C4" s="9"/>
      <c r="D4" s="9"/>
      <c r="E4" s="9">
        <f>Tabelle2151422234567891011121314151617181920[[#This Row],[Menge/ Behälter]]*Tabelle2151422234567891011121314151617181920[[#This Row],[Anzahl Behälter]]</f>
        <v>0</v>
      </c>
      <c r="F4" s="16">
        <v>240</v>
      </c>
      <c r="G4" s="16">
        <v>29</v>
      </c>
      <c r="H4" s="16">
        <f>IF(Tabelle2151422234567891011121314151617181920[[#This Row],[Menge/ Behälter1]]="","",F4*G4)</f>
        <v>6960</v>
      </c>
      <c r="I4" s="10"/>
    </row>
    <row r="5" spans="1:9" ht="24" customHeight="1" x14ac:dyDescent="0.3">
      <c r="A5" s="8">
        <v>2</v>
      </c>
      <c r="B5" s="32" t="s">
        <v>32</v>
      </c>
      <c r="C5" s="9"/>
      <c r="D5" s="9"/>
      <c r="E5" s="9">
        <f>Tabelle2151422234567891011121314151617181920[[#This Row],[Menge/ Behälter]]*Tabelle2151422234567891011121314151617181920[[#This Row],[Anzahl Behälter]]</f>
        <v>0</v>
      </c>
      <c r="F5" s="16">
        <v>540</v>
      </c>
      <c r="G5" s="16">
        <v>18</v>
      </c>
      <c r="H5" s="16">
        <f>IF(Tabelle2151422234567891011121314151617181920[[#This Row],[Menge/ Behälter1]]="","",F5*G5)</f>
        <v>9720</v>
      </c>
      <c r="I5" s="10"/>
    </row>
    <row r="6" spans="1:9" ht="24" customHeight="1" x14ac:dyDescent="0.3">
      <c r="A6" s="8">
        <v>3</v>
      </c>
      <c r="B6" s="32" t="s">
        <v>10</v>
      </c>
      <c r="C6" s="9"/>
      <c r="D6" s="9"/>
      <c r="E6" s="9"/>
      <c r="F6" s="16">
        <v>240</v>
      </c>
      <c r="G6" s="16">
        <v>2</v>
      </c>
      <c r="H6" s="16">
        <f>IF(Tabelle2151422234567891011121314151617181920[[#This Row],[Menge/ Behälter1]]="","",F6*G6)</f>
        <v>480</v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IF(Tabelle2151422234567891011121314151617181920[[#This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IF(Tabelle2151422234567891011121314151617181920[[#This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IF(Tabelle2151422234567891011121314151617181920[[#This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IF(Tabelle2151422234567891011121314151617181920[[#This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IF(Tabelle2151422234567891011121314151617181920[[#This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IF(Tabelle2151422234567891011121314151617181920[[#This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IF(Tabelle2151422234567891011121314151617181920[[#This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IF(Tabelle2151422234567891011121314151617181920[[#This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IF(Tabelle2151422234567891011121314151617181920[[#This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IF(Tabelle2151422234567891011121314151617181920[[#This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IF(Tabelle2151422234567891011121314151617181920[[#This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IF(Tabelle2151422234567891011121314151617181920[[#This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IF(Tabelle2151422234567891011121314151617181920[[#This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IF(Tabelle2151422234567891011121314151617181920[[#This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IF(Tabelle2151422234567891011121314151617181920[[#This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IF(Tabelle2151422234567891011121314151617181920[[#This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IF(Tabelle2151422234567891011121314151617181920[[#This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SUBTOTAL(109,Tabelle2151422234567891011121314151617181920[Anzahl Behälter])</f>
        <v>0</v>
      </c>
      <c r="E24" s="12">
        <f>SUBTOTAL(109,Tabelle2151422234567891011121314151617181920[Gesamt-menge])</f>
        <v>0</v>
      </c>
      <c r="F24" s="17"/>
      <c r="G24" s="17">
        <f>SUBTOTAL(109,Tabelle2151422234567891011121314151617181920[Anzahl Behälter1])</f>
        <v>49</v>
      </c>
      <c r="H24" s="17">
        <f>SUBTOTAL(109,Tabelle2151422234567891011121314151617181920[Gesamt-menge1])</f>
        <v>17160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6054-9654-404C-B623-9921DCC709B9}">
  <dimension ref="A1:I26"/>
  <sheetViews>
    <sheetView view="pageLayout" zoomScaleNormal="100" workbookViewId="0">
      <selection activeCell="G5" sqref="G5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52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32</v>
      </c>
      <c r="C4" s="9"/>
      <c r="D4" s="9"/>
      <c r="E4" s="9">
        <f>Tabelle215142223456789101112131415161718192021[[#This Row],[Menge/ Behälter]]*Tabelle215142223456789101112131415161718192021[[#This Row],[Anzahl Behälter]]</f>
        <v>0</v>
      </c>
      <c r="F4" s="16">
        <v>240</v>
      </c>
      <c r="G4" s="16">
        <v>80</v>
      </c>
      <c r="H4" s="16">
        <f>IF(Tabelle215142223456789101112131415161718192021[[#This Row],[Menge/ Behälter1]]="","",F4*G4)</f>
        <v>19200</v>
      </c>
      <c r="I4" s="10"/>
    </row>
    <row r="5" spans="1:9" ht="24" customHeight="1" x14ac:dyDescent="0.3">
      <c r="A5" s="8">
        <v>2</v>
      </c>
      <c r="B5" s="32"/>
      <c r="C5" s="9"/>
      <c r="D5" s="9"/>
      <c r="E5" s="9">
        <f>Tabelle215142223456789101112131415161718192021[[#This Row],[Menge/ Behälter]]*Tabelle215142223456789101112131415161718192021[[#This Row],[Anzahl Behälter]]</f>
        <v>0</v>
      </c>
      <c r="F5" s="16"/>
      <c r="G5" s="16"/>
      <c r="H5" s="16" t="str">
        <f>IF(Tabelle215142223456789101112131415161718192021[[#This Row],[Menge/ Behälter1]]="","",F5*G5)</f>
        <v/>
      </c>
      <c r="I5" s="10"/>
    </row>
    <row r="6" spans="1:9" ht="24" customHeight="1" x14ac:dyDescent="0.3">
      <c r="A6" s="8">
        <v>3</v>
      </c>
      <c r="B6" s="32"/>
      <c r="C6" s="9"/>
      <c r="D6" s="9"/>
      <c r="E6" s="9"/>
      <c r="F6" s="16"/>
      <c r="G6" s="16"/>
      <c r="H6" s="16" t="str">
        <f>IF(Tabelle215142223456789101112131415161718192021[[#This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IF(Tabelle215142223456789101112131415161718192021[[#This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IF(Tabelle215142223456789101112131415161718192021[[#This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IF(Tabelle215142223456789101112131415161718192021[[#This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IF(Tabelle215142223456789101112131415161718192021[[#This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IF(Tabelle215142223456789101112131415161718192021[[#This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IF(Tabelle215142223456789101112131415161718192021[[#This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IF(Tabelle215142223456789101112131415161718192021[[#This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IF(Tabelle215142223456789101112131415161718192021[[#This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IF(Tabelle215142223456789101112131415161718192021[[#This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IF(Tabelle215142223456789101112131415161718192021[[#This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IF(Tabelle215142223456789101112131415161718192021[[#This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IF(Tabelle215142223456789101112131415161718192021[[#This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IF(Tabelle215142223456789101112131415161718192021[[#This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IF(Tabelle215142223456789101112131415161718192021[[#This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IF(Tabelle215142223456789101112131415161718192021[[#This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IF(Tabelle215142223456789101112131415161718192021[[#This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IF(Tabelle215142223456789101112131415161718192021[[#This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SUBTOTAL(109,Tabelle215142223456789101112131415161718192021[Anzahl Behälter])</f>
        <v>0</v>
      </c>
      <c r="E24" s="12">
        <f>SUBTOTAL(109,Tabelle215142223456789101112131415161718192021[Gesamt-menge])</f>
        <v>0</v>
      </c>
      <c r="F24" s="17"/>
      <c r="G24" s="17">
        <f>SUBTOTAL(109,Tabelle215142223456789101112131415161718192021[Anzahl Behälter1])</f>
        <v>80</v>
      </c>
      <c r="H24" s="17">
        <f>SUBTOTAL(109,Tabelle215142223456789101112131415161718192021[Gesamt-menge1])</f>
        <v>19200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1B81-F25F-4ABB-BB2B-D9E4DD1615B4}">
  <dimension ref="A1:I26"/>
  <sheetViews>
    <sheetView view="pageLayout" zoomScaleNormal="100" workbookViewId="0">
      <selection activeCell="G5" sqref="G5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53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46</v>
      </c>
      <c r="C4" s="9"/>
      <c r="D4" s="9"/>
      <c r="E4" s="9">
        <f>Tabelle21514222345678910111213141516171819202123[[#This Row],[Menge/ Behälter]]*Tabelle21514222345678910111213141516171819202123[[#This Row],[Anzahl Behälter]]</f>
        <v>0</v>
      </c>
      <c r="F4" s="16">
        <v>720</v>
      </c>
      <c r="G4" s="16">
        <v>43</v>
      </c>
      <c r="H4" s="16">
        <f>IF(Tabelle21514222345678910111213141516171819202123[[#This Row],[Menge/ Behälter1]]="","",F4*G4)</f>
        <v>30960</v>
      </c>
      <c r="I4" s="10"/>
    </row>
    <row r="5" spans="1:9" ht="24" customHeight="1" x14ac:dyDescent="0.3">
      <c r="A5" s="8">
        <v>2</v>
      </c>
      <c r="B5" s="32"/>
      <c r="C5" s="9"/>
      <c r="D5" s="9"/>
      <c r="E5" s="9">
        <f>Tabelle21514222345678910111213141516171819202123[[#This Row],[Menge/ Behälter]]*Tabelle21514222345678910111213141516171819202123[[#This Row],[Anzahl Behälter]]</f>
        <v>0</v>
      </c>
      <c r="F5" s="16"/>
      <c r="G5" s="16"/>
      <c r="H5" s="16" t="str">
        <f>IF(Tabelle21514222345678910111213141516171819202123[[#This Row],[Menge/ Behälter1]]="","",F5*G5)</f>
        <v/>
      </c>
      <c r="I5" s="10"/>
    </row>
    <row r="6" spans="1:9" ht="24" customHeight="1" x14ac:dyDescent="0.3">
      <c r="A6" s="8">
        <v>3</v>
      </c>
      <c r="B6" s="32"/>
      <c r="C6" s="9"/>
      <c r="D6" s="9"/>
      <c r="E6" s="9"/>
      <c r="F6" s="16"/>
      <c r="G6" s="16"/>
      <c r="H6" s="16" t="str">
        <f>IF(Tabelle21514222345678910111213141516171819202123[[#This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IF(Tabelle21514222345678910111213141516171819202123[[#This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IF(Tabelle21514222345678910111213141516171819202123[[#This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IF(Tabelle21514222345678910111213141516171819202123[[#This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IF(Tabelle21514222345678910111213141516171819202123[[#This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IF(Tabelle21514222345678910111213141516171819202123[[#This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IF(Tabelle21514222345678910111213141516171819202123[[#This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IF(Tabelle21514222345678910111213141516171819202123[[#This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IF(Tabelle21514222345678910111213141516171819202123[[#This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IF(Tabelle21514222345678910111213141516171819202123[[#This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IF(Tabelle21514222345678910111213141516171819202123[[#This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IF(Tabelle21514222345678910111213141516171819202123[[#This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IF(Tabelle21514222345678910111213141516171819202123[[#This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IF(Tabelle21514222345678910111213141516171819202123[[#This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IF(Tabelle21514222345678910111213141516171819202123[[#This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IF(Tabelle21514222345678910111213141516171819202123[[#This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IF(Tabelle21514222345678910111213141516171819202123[[#This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IF(Tabelle21514222345678910111213141516171819202123[[#This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SUBTOTAL(109,Tabelle21514222345678910111213141516171819202123[Anzahl Behälter])</f>
        <v>0</v>
      </c>
      <c r="E24" s="12">
        <f>SUBTOTAL(109,Tabelle21514222345678910111213141516171819202123[Gesamt-menge])</f>
        <v>0</v>
      </c>
      <c r="F24" s="17"/>
      <c r="G24" s="17">
        <f>SUBTOTAL(109,Tabelle21514222345678910111213141516171819202123[Anzahl Behälter1])</f>
        <v>43</v>
      </c>
      <c r="H24" s="17">
        <f>SUBTOTAL(109,Tabelle21514222345678910111213141516171819202123[Gesamt-menge1])</f>
        <v>30960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ED23D-E292-40A8-8157-628B11429C26}">
  <dimension ref="A1:I26"/>
  <sheetViews>
    <sheetView view="pageLayout" zoomScaleNormal="100" workbookViewId="0">
      <selection activeCell="G4" sqref="G4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54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32</v>
      </c>
      <c r="C4" s="9"/>
      <c r="D4" s="9"/>
      <c r="E4" s="9">
        <f>Tabelle2151422234567891011121314151617181920212324[[#This Row],[Menge/ Behälter]]*Tabelle2151422234567891011121314151617181920212324[[#This Row],[Anzahl Behälter]]</f>
        <v>0</v>
      </c>
      <c r="F4" s="16">
        <v>240</v>
      </c>
      <c r="G4" s="16">
        <v>94</v>
      </c>
      <c r="H4" s="16">
        <f>IF(Tabelle2151422234567891011121314151617181920212324[[#This Row],[Menge/ Behälter1]]="","",F4*G4)</f>
        <v>22560</v>
      </c>
      <c r="I4" s="10"/>
    </row>
    <row r="5" spans="1:9" ht="24" customHeight="1" x14ac:dyDescent="0.3">
      <c r="A5" s="8">
        <v>2</v>
      </c>
      <c r="B5" s="32" t="s">
        <v>35</v>
      </c>
      <c r="C5" s="9"/>
      <c r="D5" s="9"/>
      <c r="E5" s="9">
        <f>Tabelle2151422234567891011121314151617181920212324[[#This Row],[Menge/ Behälter]]*Tabelle2151422234567891011121314151617181920212324[[#This Row],[Anzahl Behälter]]</f>
        <v>0</v>
      </c>
      <c r="F5" s="16">
        <v>120</v>
      </c>
      <c r="G5" s="16">
        <v>2</v>
      </c>
      <c r="H5" s="16">
        <f>IF(Tabelle2151422234567891011121314151617181920212324[[#This Row],[Menge/ Behälter1]]="","",F5*G5)</f>
        <v>240</v>
      </c>
      <c r="I5" s="10"/>
    </row>
    <row r="6" spans="1:9" ht="24" customHeight="1" x14ac:dyDescent="0.3">
      <c r="A6" s="8">
        <v>3</v>
      </c>
      <c r="B6" s="32"/>
      <c r="C6" s="9"/>
      <c r="D6" s="9"/>
      <c r="E6" s="9"/>
      <c r="F6" s="16"/>
      <c r="G6" s="16"/>
      <c r="H6" s="16" t="str">
        <f>IF(Tabelle2151422234567891011121314151617181920212324[[#This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IF(Tabelle2151422234567891011121314151617181920212324[[#This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IF(Tabelle2151422234567891011121314151617181920212324[[#This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IF(Tabelle2151422234567891011121314151617181920212324[[#This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IF(Tabelle2151422234567891011121314151617181920212324[[#This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IF(Tabelle2151422234567891011121314151617181920212324[[#This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IF(Tabelle2151422234567891011121314151617181920212324[[#This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IF(Tabelle2151422234567891011121314151617181920212324[[#This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IF(Tabelle2151422234567891011121314151617181920212324[[#This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IF(Tabelle2151422234567891011121314151617181920212324[[#This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IF(Tabelle2151422234567891011121314151617181920212324[[#This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IF(Tabelle2151422234567891011121314151617181920212324[[#This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IF(Tabelle2151422234567891011121314151617181920212324[[#This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IF(Tabelle2151422234567891011121314151617181920212324[[#This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IF(Tabelle2151422234567891011121314151617181920212324[[#This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IF(Tabelle2151422234567891011121314151617181920212324[[#This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IF(Tabelle2151422234567891011121314151617181920212324[[#This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IF(Tabelle2151422234567891011121314151617181920212324[[#This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SUBTOTAL(109,Tabelle2151422234567891011121314151617181920212324[Anzahl Behälter])</f>
        <v>0</v>
      </c>
      <c r="E24" s="12">
        <f>SUBTOTAL(109,Tabelle2151422234567891011121314151617181920212324[Gesamt-menge])</f>
        <v>0</v>
      </c>
      <c r="F24" s="17"/>
      <c r="G24" s="17">
        <f>SUBTOTAL(109,Tabelle2151422234567891011121314151617181920212324[Anzahl Behälter1])</f>
        <v>96</v>
      </c>
      <c r="H24" s="17">
        <f>SUBTOTAL(109,Tabelle2151422234567891011121314151617181920212324[Gesamt-menge1])</f>
        <v>22800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5222-5644-4F1E-88EA-874FCD99D3E5}">
  <dimension ref="A1:I26"/>
  <sheetViews>
    <sheetView view="pageLayout" zoomScaleNormal="100" workbookViewId="0">
      <selection activeCell="F7" sqref="F7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55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9</v>
      </c>
      <c r="C4" s="9"/>
      <c r="D4" s="9"/>
      <c r="E4" s="9">
        <f>Tabelle215142223456789101112131415161718192021232425[[#This Row],[Menge/ Behälter]]*Tabelle215142223456789101112131415161718192021232425[[#This Row],[Anzahl Behälter]]</f>
        <v>0</v>
      </c>
      <c r="F4" s="16">
        <v>316</v>
      </c>
      <c r="G4" s="16">
        <v>1</v>
      </c>
      <c r="H4" s="16">
        <f>IF(Tabelle215142223456789101112131415161718192021232425[[#This Row],[Menge/ Behälter1]]="","",F4*G4)</f>
        <v>316</v>
      </c>
      <c r="I4" s="10"/>
    </row>
    <row r="5" spans="1:9" ht="24" customHeight="1" x14ac:dyDescent="0.3">
      <c r="A5" s="8">
        <v>2</v>
      </c>
      <c r="B5" s="32" t="s">
        <v>9</v>
      </c>
      <c r="C5" s="9"/>
      <c r="D5" s="9"/>
      <c r="E5" s="9">
        <f>Tabelle215142223456789101112131415161718192021232425[[#This Row],[Menge/ Behälter]]*Tabelle215142223456789101112131415161718192021232425[[#This Row],[Anzahl Behälter]]</f>
        <v>0</v>
      </c>
      <c r="F5" s="16">
        <v>54</v>
      </c>
      <c r="G5" s="16">
        <v>1</v>
      </c>
      <c r="H5" s="16">
        <f>IF(Tabelle215142223456789101112131415161718192021232425[[#This Row],[Menge/ Behälter1]]="","",F5*G5)</f>
        <v>54</v>
      </c>
      <c r="I5" s="10"/>
    </row>
    <row r="6" spans="1:9" ht="24" customHeight="1" x14ac:dyDescent="0.3">
      <c r="A6" s="8">
        <v>3</v>
      </c>
      <c r="B6" s="32" t="s">
        <v>9</v>
      </c>
      <c r="C6" s="9"/>
      <c r="D6" s="9"/>
      <c r="E6" s="9"/>
      <c r="F6" s="16">
        <v>720</v>
      </c>
      <c r="G6" s="16">
        <v>77</v>
      </c>
      <c r="H6" s="16">
        <f>IF(Tabelle215142223456789101112131415161718192021232425[[#This Row],[Menge/ Behälter1]]="","",F6*G6)</f>
        <v>55440</v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IF(Tabelle215142223456789101112131415161718192021232425[[#This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IF(Tabelle215142223456789101112131415161718192021232425[[#This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IF(Tabelle215142223456789101112131415161718192021232425[[#This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IF(Tabelle215142223456789101112131415161718192021232425[[#This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IF(Tabelle215142223456789101112131415161718192021232425[[#This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IF(Tabelle215142223456789101112131415161718192021232425[[#This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IF(Tabelle215142223456789101112131415161718192021232425[[#This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IF(Tabelle215142223456789101112131415161718192021232425[[#This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IF(Tabelle215142223456789101112131415161718192021232425[[#This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IF(Tabelle215142223456789101112131415161718192021232425[[#This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IF(Tabelle215142223456789101112131415161718192021232425[[#This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IF(Tabelle215142223456789101112131415161718192021232425[[#This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IF(Tabelle215142223456789101112131415161718192021232425[[#This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IF(Tabelle215142223456789101112131415161718192021232425[[#This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IF(Tabelle215142223456789101112131415161718192021232425[[#This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IF(Tabelle215142223456789101112131415161718192021232425[[#This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IF(Tabelle215142223456789101112131415161718192021232425[[#This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SUBTOTAL(109,Tabelle215142223456789101112131415161718192021232425[Anzahl Behälter])</f>
        <v>0</v>
      </c>
      <c r="E24" s="12">
        <f>SUBTOTAL(109,Tabelle215142223456789101112131415161718192021232425[Gesamt-menge])</f>
        <v>0</v>
      </c>
      <c r="F24" s="17"/>
      <c r="G24" s="17">
        <f>SUBTOTAL(109,Tabelle215142223456789101112131415161718192021232425[Anzahl Behälter1])</f>
        <v>79</v>
      </c>
      <c r="H24" s="17">
        <f>SUBTOTAL(109,Tabelle215142223456789101112131415161718192021232425[Gesamt-menge1])</f>
        <v>55810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1DAF-848B-479F-91B5-6F9DCAC6060C}">
  <dimension ref="A1:I26"/>
  <sheetViews>
    <sheetView view="pageLayout" zoomScaleNormal="100" workbookViewId="0">
      <selection activeCell="F6" sqref="F6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56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57</v>
      </c>
      <c r="C4" s="9"/>
      <c r="D4" s="9"/>
      <c r="E4" s="9">
        <f>Tabelle21514222345678910111213141516171819202123242526[[#This Row],[Menge/ Behälter]]*Tabelle21514222345678910111213141516171819202123242526[[#This Row],[Anzahl Behälter]]</f>
        <v>0</v>
      </c>
      <c r="F4" s="16">
        <v>155</v>
      </c>
      <c r="G4" s="16">
        <v>1</v>
      </c>
      <c r="H4" s="16">
        <f>IF(Tabelle21514222345678910111213141516171819202123242526[[#This Row],[Menge/ Behälter1]]="","",F4*G4)</f>
        <v>155</v>
      </c>
      <c r="I4" s="10"/>
    </row>
    <row r="5" spans="1:9" ht="24" customHeight="1" x14ac:dyDescent="0.3">
      <c r="A5" s="8">
        <v>2</v>
      </c>
      <c r="B5" s="32" t="s">
        <v>57</v>
      </c>
      <c r="C5" s="9"/>
      <c r="D5" s="9"/>
      <c r="E5" s="9">
        <f>Tabelle21514222345678910111213141516171819202123242526[[#This Row],[Menge/ Behälter]]*Tabelle21514222345678910111213141516171819202123242526[[#This Row],[Anzahl Behälter]]</f>
        <v>0</v>
      </c>
      <c r="F5" s="16">
        <v>216</v>
      </c>
      <c r="G5" s="16">
        <v>63</v>
      </c>
      <c r="H5" s="16">
        <f>IF(Tabelle21514222345678910111213141516171819202123242526[[#This Row],[Menge/ Behälter1]]="","",F5*G5)</f>
        <v>13608</v>
      </c>
      <c r="I5" s="10"/>
    </row>
    <row r="6" spans="1:9" ht="24" customHeight="1" x14ac:dyDescent="0.3">
      <c r="A6" s="8">
        <v>3</v>
      </c>
      <c r="B6" s="32"/>
      <c r="C6" s="9"/>
      <c r="D6" s="9"/>
      <c r="E6" s="9"/>
      <c r="F6" s="16"/>
      <c r="G6" s="16"/>
      <c r="H6" s="16" t="str">
        <f>IF(Tabelle21514222345678910111213141516171819202123242526[[#This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IF(Tabelle21514222345678910111213141516171819202123242526[[#This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IF(Tabelle21514222345678910111213141516171819202123242526[[#This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IF(Tabelle21514222345678910111213141516171819202123242526[[#This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IF(Tabelle21514222345678910111213141516171819202123242526[[#This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IF(Tabelle21514222345678910111213141516171819202123242526[[#This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IF(Tabelle21514222345678910111213141516171819202123242526[[#This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IF(Tabelle21514222345678910111213141516171819202123242526[[#This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IF(Tabelle21514222345678910111213141516171819202123242526[[#This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IF(Tabelle21514222345678910111213141516171819202123242526[[#This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IF(Tabelle21514222345678910111213141516171819202123242526[[#This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IF(Tabelle21514222345678910111213141516171819202123242526[[#This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IF(Tabelle21514222345678910111213141516171819202123242526[[#This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IF(Tabelle21514222345678910111213141516171819202123242526[[#This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IF(Tabelle21514222345678910111213141516171819202123242526[[#This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IF(Tabelle21514222345678910111213141516171819202123242526[[#This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IF(Tabelle21514222345678910111213141516171819202123242526[[#This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IF(Tabelle21514222345678910111213141516171819202123242526[[#This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SUBTOTAL(109,Tabelle21514222345678910111213141516171819202123242526[Anzahl Behälter])</f>
        <v>0</v>
      </c>
      <c r="E24" s="12">
        <f>SUBTOTAL(109,Tabelle21514222345678910111213141516171819202123242526[Gesamt-menge])</f>
        <v>0</v>
      </c>
      <c r="F24" s="17"/>
      <c r="G24" s="17">
        <f>SUBTOTAL(109,Tabelle21514222345678910111213141516171819202123242526[Anzahl Behälter1])</f>
        <v>64</v>
      </c>
      <c r="H24" s="17">
        <f>SUBTOTAL(109,Tabelle21514222345678910111213141516171819202123242526[Gesamt-menge1])</f>
        <v>13763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1C4A-4155-4170-8E99-B806A928D6F0}">
  <dimension ref="A1:I26"/>
  <sheetViews>
    <sheetView view="pageLayout" zoomScaleNormal="100" workbookViewId="0">
      <selection activeCell="B5" sqref="B5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58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59</v>
      </c>
      <c r="C4" s="9"/>
      <c r="D4" s="9"/>
      <c r="E4" s="9">
        <f>Tabelle2151422234567891011121314151617181920212324252627[[#This Row],[Menge/ Behälter]]*Tabelle2151422234567891011121314151617181920212324252627[[#This Row],[Anzahl Behälter]]</f>
        <v>0</v>
      </c>
      <c r="F4" s="16"/>
      <c r="G4" s="16"/>
      <c r="H4" s="16" t="str">
        <f>IF(Tabelle2151422234567891011121314151617181920212324252627[[#This Row],[Menge/ Behälter1]]="","",F4*G4)</f>
        <v/>
      </c>
      <c r="I4" s="10"/>
    </row>
    <row r="5" spans="1:9" ht="24" customHeight="1" x14ac:dyDescent="0.3">
      <c r="A5" s="8">
        <v>2</v>
      </c>
      <c r="B5" s="32"/>
      <c r="C5" s="9"/>
      <c r="D5" s="9"/>
      <c r="E5" s="9">
        <f>Tabelle2151422234567891011121314151617181920212324252627[[#This Row],[Menge/ Behälter]]*Tabelle2151422234567891011121314151617181920212324252627[[#This Row],[Anzahl Behälter]]</f>
        <v>0</v>
      </c>
      <c r="F5" s="16"/>
      <c r="G5" s="16"/>
      <c r="H5" s="16" t="str">
        <f>IF(Tabelle2151422234567891011121314151617181920212324252627[[#This Row],[Menge/ Behälter1]]="","",F5*G5)</f>
        <v/>
      </c>
      <c r="I5" s="10"/>
    </row>
    <row r="6" spans="1:9" ht="24" customHeight="1" x14ac:dyDescent="0.3">
      <c r="A6" s="8">
        <v>3</v>
      </c>
      <c r="B6" s="32"/>
      <c r="C6" s="9"/>
      <c r="D6" s="9"/>
      <c r="E6" s="9"/>
      <c r="F6" s="16"/>
      <c r="G6" s="16"/>
      <c r="H6" s="16" t="str">
        <f>IF(Tabelle2151422234567891011121314151617181920212324252627[[#This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IF(Tabelle2151422234567891011121314151617181920212324252627[[#This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IF(Tabelle2151422234567891011121314151617181920212324252627[[#This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IF(Tabelle2151422234567891011121314151617181920212324252627[[#This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IF(Tabelle2151422234567891011121314151617181920212324252627[[#This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IF(Tabelle2151422234567891011121314151617181920212324252627[[#This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IF(Tabelle2151422234567891011121314151617181920212324252627[[#This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IF(Tabelle2151422234567891011121314151617181920212324252627[[#This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IF(Tabelle2151422234567891011121314151617181920212324252627[[#This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IF(Tabelle2151422234567891011121314151617181920212324252627[[#This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IF(Tabelle2151422234567891011121314151617181920212324252627[[#This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IF(Tabelle2151422234567891011121314151617181920212324252627[[#This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IF(Tabelle2151422234567891011121314151617181920212324252627[[#This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IF(Tabelle2151422234567891011121314151617181920212324252627[[#This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IF(Tabelle2151422234567891011121314151617181920212324252627[[#This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IF(Tabelle2151422234567891011121314151617181920212324252627[[#This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IF(Tabelle2151422234567891011121314151617181920212324252627[[#This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IF(Tabelle2151422234567891011121314151617181920212324252627[[#This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SUBTOTAL(109,Tabelle2151422234567891011121314151617181920212324252627[Anzahl Behälter])</f>
        <v>0</v>
      </c>
      <c r="E24" s="12">
        <f>SUBTOTAL(109,Tabelle2151422234567891011121314151617181920212324252627[Gesamt-menge])</f>
        <v>0</v>
      </c>
      <c r="F24" s="17"/>
      <c r="G24" s="17">
        <f>SUBTOTAL(109,Tabelle2151422234567891011121314151617181920212324252627[Anzahl Behälter1])</f>
        <v>0</v>
      </c>
      <c r="H24" s="17">
        <f>SUBTOTAL(109,Tabelle2151422234567891011121314151617181920212324252627[Gesamt-menge1])</f>
        <v>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6F979-A26D-477B-A6CC-84597638C73B}">
  <dimension ref="A1:I26"/>
  <sheetViews>
    <sheetView view="pageLayout" zoomScaleNormal="100" workbookViewId="0">
      <selection activeCell="G6" sqref="G6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60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35</v>
      </c>
      <c r="C4" s="9"/>
      <c r="D4" s="9"/>
      <c r="E4" s="9">
        <f>Tabelle215142223456789101112131415161718192021232425262728[[#This Row],[Menge/ Behälter]]*Tabelle215142223456789101112131415161718192021232425262728[[#This Row],[Anzahl Behälter]]</f>
        <v>0</v>
      </c>
      <c r="F4" s="16">
        <v>120</v>
      </c>
      <c r="G4" s="16">
        <v>97</v>
      </c>
      <c r="H4" s="16">
        <f>IF(Tabelle215142223456789101112131415161718192021232425262728[[#This Row],[Menge/ Behälter1]]="","",F4*G4)</f>
        <v>11640</v>
      </c>
      <c r="I4" s="10"/>
    </row>
    <row r="5" spans="1:9" ht="24" customHeight="1" x14ac:dyDescent="0.3">
      <c r="A5" s="8">
        <v>2</v>
      </c>
      <c r="B5" s="32" t="s">
        <v>8</v>
      </c>
      <c r="C5" s="9"/>
      <c r="D5" s="9"/>
      <c r="E5" s="9">
        <f>Tabelle215142223456789101112131415161718192021232425262728[[#This Row],[Menge/ Behälter]]*Tabelle215142223456789101112131415161718192021232425262728[[#This Row],[Anzahl Behälter]]</f>
        <v>0</v>
      </c>
      <c r="F5" s="16">
        <v>90</v>
      </c>
      <c r="G5" s="16">
        <v>1</v>
      </c>
      <c r="H5" s="16">
        <f>IF(Tabelle215142223456789101112131415161718192021232425262728[[#This Row],[Menge/ Behälter1]]="","",F5*G5)</f>
        <v>90</v>
      </c>
      <c r="I5" s="10"/>
    </row>
    <row r="6" spans="1:9" ht="24" customHeight="1" x14ac:dyDescent="0.3">
      <c r="A6" s="8">
        <v>3</v>
      </c>
      <c r="B6" s="32"/>
      <c r="C6" s="9"/>
      <c r="D6" s="9"/>
      <c r="E6" s="9"/>
      <c r="F6" s="16"/>
      <c r="G6" s="16"/>
      <c r="H6" s="16" t="str">
        <f>IF(Tabelle215142223456789101112131415161718192021232425262728[[#This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IF(Tabelle215142223456789101112131415161718192021232425262728[[#This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IF(Tabelle215142223456789101112131415161718192021232425262728[[#This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IF(Tabelle215142223456789101112131415161718192021232425262728[[#This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IF(Tabelle215142223456789101112131415161718192021232425262728[[#This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IF(Tabelle215142223456789101112131415161718192021232425262728[[#This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IF(Tabelle215142223456789101112131415161718192021232425262728[[#This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IF(Tabelle215142223456789101112131415161718192021232425262728[[#This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IF(Tabelle215142223456789101112131415161718192021232425262728[[#This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IF(Tabelle215142223456789101112131415161718192021232425262728[[#This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IF(Tabelle215142223456789101112131415161718192021232425262728[[#This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IF(Tabelle215142223456789101112131415161718192021232425262728[[#This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IF(Tabelle215142223456789101112131415161718192021232425262728[[#This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IF(Tabelle215142223456789101112131415161718192021232425262728[[#This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IF(Tabelle215142223456789101112131415161718192021232425262728[[#This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IF(Tabelle215142223456789101112131415161718192021232425262728[[#This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IF(Tabelle215142223456789101112131415161718192021232425262728[[#This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IF(Tabelle215142223456789101112131415161718192021232425262728[[#This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SUBTOTAL(109,Tabelle215142223456789101112131415161718192021232425262728[Anzahl Behälter])</f>
        <v>0</v>
      </c>
      <c r="E24" s="12">
        <f>SUBTOTAL(109,Tabelle215142223456789101112131415161718192021232425262728[Gesamt-menge])</f>
        <v>0</v>
      </c>
      <c r="F24" s="17"/>
      <c r="G24" s="17">
        <f>SUBTOTAL(109,Tabelle215142223456789101112131415161718192021232425262728[Anzahl Behälter1])</f>
        <v>98</v>
      </c>
      <c r="H24" s="17">
        <f>SUBTOTAL(109,Tabelle215142223456789101112131415161718192021232425262728[Gesamt-menge1])</f>
        <v>11730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E1D8-8803-4447-99A5-9EE639A49E57}">
  <dimension ref="A1:I26"/>
  <sheetViews>
    <sheetView view="pageLayout" zoomScaleNormal="100" workbookViewId="0">
      <selection activeCell="G5" sqref="G5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61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8</v>
      </c>
      <c r="C4" s="9"/>
      <c r="D4" s="9"/>
      <c r="E4" s="9">
        <f>Tabelle21514222345678910111213141516171819202123242526272831[[#This Row],[Menge/ Behälter]]*Tabelle21514222345678910111213141516171819202123242526272831[[#This Row],[Anzahl Behälter]]</f>
        <v>0</v>
      </c>
      <c r="F4" s="16">
        <v>90</v>
      </c>
      <c r="G4" s="16">
        <v>97</v>
      </c>
      <c r="H4" s="16">
        <f>IF(Tabelle21514222345678910111213141516171819202123242526272831[[#This Row],[Menge/ Behälter1]]="","",F4*G4)</f>
        <v>8730</v>
      </c>
      <c r="I4" s="10"/>
    </row>
    <row r="5" spans="1:9" ht="24" customHeight="1" x14ac:dyDescent="0.3">
      <c r="A5" s="8">
        <v>2</v>
      </c>
      <c r="B5" s="32"/>
      <c r="C5" s="9"/>
      <c r="D5" s="9"/>
      <c r="E5" s="9">
        <f>Tabelle21514222345678910111213141516171819202123242526272831[[#This Row],[Menge/ Behälter]]*Tabelle21514222345678910111213141516171819202123242526272831[[#This Row],[Anzahl Behälter]]</f>
        <v>0</v>
      </c>
      <c r="F5" s="16"/>
      <c r="G5" s="16"/>
      <c r="H5" s="16" t="str">
        <f>IF(Tabelle21514222345678910111213141516171819202123242526272831[[#This Row],[Menge/ Behälter1]]="","",F5*G5)</f>
        <v/>
      </c>
      <c r="I5" s="10"/>
    </row>
    <row r="6" spans="1:9" ht="24" customHeight="1" x14ac:dyDescent="0.3">
      <c r="A6" s="8">
        <v>3</v>
      </c>
      <c r="B6" s="32"/>
      <c r="C6" s="9"/>
      <c r="D6" s="9"/>
      <c r="E6" s="9"/>
      <c r="F6" s="16"/>
      <c r="G6" s="16"/>
      <c r="H6" s="16" t="str">
        <f>IF(Tabelle21514222345678910111213141516171819202123242526272831[[#This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IF(Tabelle21514222345678910111213141516171819202123242526272831[[#This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IF(Tabelle21514222345678910111213141516171819202123242526272831[[#This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IF(Tabelle21514222345678910111213141516171819202123242526272831[[#This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IF(Tabelle21514222345678910111213141516171819202123242526272831[[#This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IF(Tabelle21514222345678910111213141516171819202123242526272831[[#This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IF(Tabelle21514222345678910111213141516171819202123242526272831[[#This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IF(Tabelle21514222345678910111213141516171819202123242526272831[[#This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IF(Tabelle21514222345678910111213141516171819202123242526272831[[#This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IF(Tabelle21514222345678910111213141516171819202123242526272831[[#This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IF(Tabelle21514222345678910111213141516171819202123242526272831[[#This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IF(Tabelle21514222345678910111213141516171819202123242526272831[[#This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IF(Tabelle21514222345678910111213141516171819202123242526272831[[#This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IF(Tabelle21514222345678910111213141516171819202123242526272831[[#This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IF(Tabelle21514222345678910111213141516171819202123242526272831[[#This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IF(Tabelle21514222345678910111213141516171819202123242526272831[[#This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IF(Tabelle21514222345678910111213141516171819202123242526272831[[#This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IF(Tabelle21514222345678910111213141516171819202123242526272831[[#This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SUBTOTAL(109,Tabelle21514222345678910111213141516171819202123242526272831[Anzahl Behälter])</f>
        <v>0</v>
      </c>
      <c r="E24" s="12">
        <f>SUBTOTAL(109,Tabelle21514222345678910111213141516171819202123242526272831[Gesamt-menge])</f>
        <v>0</v>
      </c>
      <c r="F24" s="17"/>
      <c r="G24" s="17">
        <f>SUBTOTAL(109,Tabelle21514222345678910111213141516171819202123242526272831[Anzahl Behälter1])</f>
        <v>97</v>
      </c>
      <c r="H24" s="17">
        <f>SUBTOTAL(109,Tabelle21514222345678910111213141516171819202123242526272831[Gesamt-menge1])</f>
        <v>8730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B952F-6550-41A2-8D55-B114EFBC6833}">
  <dimension ref="A1:I26"/>
  <sheetViews>
    <sheetView view="pageLayout" zoomScaleNormal="100" workbookViewId="0">
      <selection activeCell="B5" sqref="B5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62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8</v>
      </c>
      <c r="C4" s="9"/>
      <c r="D4" s="9"/>
      <c r="E4" s="9">
        <f>Tabelle2151422234567891011121314151617181920212324252627283132[[#This Row],[Menge/ Behälter]]*Tabelle2151422234567891011121314151617181920212324252627283132[[#This Row],[Anzahl Behälter]]</f>
        <v>0</v>
      </c>
      <c r="F4" s="16">
        <v>90</v>
      </c>
      <c r="G4" s="16">
        <v>108</v>
      </c>
      <c r="H4" s="16">
        <f>IF(Tabelle2151422234567891011121314151617181920212324252627283132[[#This Row],[Menge/ Behälter1]]="","",F4*G4)</f>
        <v>9720</v>
      </c>
      <c r="I4" s="10"/>
    </row>
    <row r="5" spans="1:9" ht="24" customHeight="1" x14ac:dyDescent="0.3">
      <c r="A5" s="8">
        <v>2</v>
      </c>
      <c r="B5" s="32"/>
      <c r="C5" s="9"/>
      <c r="D5" s="9"/>
      <c r="E5" s="9">
        <f>Tabelle2151422234567891011121314151617181920212324252627283132[[#This Row],[Menge/ Behälter]]*Tabelle2151422234567891011121314151617181920212324252627283132[[#This Row],[Anzahl Behälter]]</f>
        <v>0</v>
      </c>
      <c r="F5" s="16"/>
      <c r="G5" s="16"/>
      <c r="H5" s="16" t="str">
        <f>IF(Tabelle2151422234567891011121314151617181920212324252627283132[[#This Row],[Menge/ Behälter1]]="","",F5*G5)</f>
        <v/>
      </c>
      <c r="I5" s="10"/>
    </row>
    <row r="6" spans="1:9" ht="24" customHeight="1" x14ac:dyDescent="0.3">
      <c r="A6" s="8">
        <v>3</v>
      </c>
      <c r="B6" s="32"/>
      <c r="C6" s="9"/>
      <c r="D6" s="9"/>
      <c r="E6" s="9"/>
      <c r="F6" s="16"/>
      <c r="G6" s="16"/>
      <c r="H6" s="16" t="str">
        <f>IF(Tabelle2151422234567891011121314151617181920212324252627283132[[#This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IF(Tabelle2151422234567891011121314151617181920212324252627283132[[#This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IF(Tabelle2151422234567891011121314151617181920212324252627283132[[#This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IF(Tabelle2151422234567891011121314151617181920212324252627283132[[#This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IF(Tabelle2151422234567891011121314151617181920212324252627283132[[#This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IF(Tabelle2151422234567891011121314151617181920212324252627283132[[#This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IF(Tabelle2151422234567891011121314151617181920212324252627283132[[#This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IF(Tabelle2151422234567891011121314151617181920212324252627283132[[#This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IF(Tabelle2151422234567891011121314151617181920212324252627283132[[#This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IF(Tabelle2151422234567891011121314151617181920212324252627283132[[#This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IF(Tabelle2151422234567891011121314151617181920212324252627283132[[#This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IF(Tabelle2151422234567891011121314151617181920212324252627283132[[#This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IF(Tabelle2151422234567891011121314151617181920212324252627283132[[#This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IF(Tabelle2151422234567891011121314151617181920212324252627283132[[#This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IF(Tabelle2151422234567891011121314151617181920212324252627283132[[#This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IF(Tabelle2151422234567891011121314151617181920212324252627283132[[#This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IF(Tabelle2151422234567891011121314151617181920212324252627283132[[#This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IF(Tabelle2151422234567891011121314151617181920212324252627283132[[#This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SUBTOTAL(109,Tabelle2151422234567891011121314151617181920212324252627283132[Anzahl Behälter])</f>
        <v>0</v>
      </c>
      <c r="E24" s="12">
        <f>SUBTOTAL(109,Tabelle2151422234567891011121314151617181920212324252627283132[Gesamt-menge])</f>
        <v>0</v>
      </c>
      <c r="F24" s="17"/>
      <c r="G24" s="17">
        <f>SUBTOTAL(109,Tabelle2151422234567891011121314151617181920212324252627283132[Anzahl Behälter1])</f>
        <v>108</v>
      </c>
      <c r="H24" s="17">
        <f>SUBTOTAL(109,Tabelle2151422234567891011121314151617181920212324252627283132[Gesamt-menge1])</f>
        <v>9720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EF172-E4FC-494A-A15D-E2E54A347D38}">
  <dimension ref="A1:I26"/>
  <sheetViews>
    <sheetView tabSelected="1" view="pageLayout" zoomScaleNormal="100" workbookViewId="0">
      <selection activeCell="F2" sqref="F2:H2"/>
    </sheetView>
  </sheetViews>
  <sheetFormatPr baseColWidth="10" defaultRowHeight="14.4" x14ac:dyDescent="0.3"/>
  <cols>
    <col min="1" max="1" width="5.6640625" customWidth="1"/>
    <col min="2" max="2" width="12.5546875" customWidth="1"/>
    <col min="3" max="3" width="8.6640625" customWidth="1"/>
    <col min="4" max="4" width="9" customWidth="1"/>
    <col min="5" max="5" width="8.21875" customWidth="1"/>
    <col min="6" max="6" width="9.109375" customWidth="1"/>
    <col min="7" max="7" width="9" customWidth="1"/>
    <col min="8" max="8" width="8.88671875" customWidth="1"/>
    <col min="9" max="9" width="12.44140625" customWidth="1"/>
  </cols>
  <sheetData>
    <row r="1" spans="1:9" ht="25.8" x14ac:dyDescent="0.3">
      <c r="A1" s="19" t="s">
        <v>0</v>
      </c>
      <c r="B1" s="20"/>
      <c r="C1" s="20"/>
      <c r="D1" s="20"/>
      <c r="E1" s="21"/>
      <c r="F1" s="22" t="s">
        <v>63</v>
      </c>
      <c r="G1" s="22"/>
      <c r="H1" s="22"/>
      <c r="I1" s="22"/>
    </row>
    <row r="2" spans="1:9" ht="39" x14ac:dyDescent="0.75">
      <c r="A2" s="23"/>
      <c r="B2" s="24"/>
      <c r="C2" s="25" t="s">
        <v>11</v>
      </c>
      <c r="D2" s="26"/>
      <c r="E2" s="26"/>
      <c r="F2" s="25" t="s">
        <v>15</v>
      </c>
      <c r="G2" s="26"/>
      <c r="H2" s="26"/>
      <c r="I2" s="3"/>
    </row>
    <row r="3" spans="1:9" ht="33.6" customHeight="1" x14ac:dyDescent="0.3">
      <c r="A3" s="4" t="s">
        <v>2</v>
      </c>
      <c r="B3" s="5" t="s">
        <v>1</v>
      </c>
      <c r="C3" s="6" t="s">
        <v>3</v>
      </c>
      <c r="D3" s="6" t="s">
        <v>4</v>
      </c>
      <c r="E3" s="6" t="s">
        <v>5</v>
      </c>
      <c r="F3" s="6" t="s">
        <v>12</v>
      </c>
      <c r="G3" s="6" t="s">
        <v>13</v>
      </c>
      <c r="H3" s="6" t="s">
        <v>14</v>
      </c>
      <c r="I3" s="7" t="s">
        <v>6</v>
      </c>
    </row>
    <row r="4" spans="1:9" ht="24" customHeight="1" x14ac:dyDescent="0.3">
      <c r="A4" s="8">
        <v>1</v>
      </c>
      <c r="B4" s="32" t="s">
        <v>8</v>
      </c>
      <c r="C4" s="9"/>
      <c r="D4" s="9"/>
      <c r="E4" s="9">
        <f>Tabelle215142223456789101112131415161718192021232425262728313233[[#This Row],[Menge/ Behälter]]*Tabelle215142223456789101112131415161718192021232425262728313233[[#This Row],[Anzahl Behälter]]</f>
        <v>0</v>
      </c>
      <c r="F4" s="16">
        <v>90</v>
      </c>
      <c r="G4" s="16">
        <v>108</v>
      </c>
      <c r="H4" s="16">
        <f>IF(Tabelle215142223456789101112131415161718192021232425262728313233[[#This Row],[Menge/ Behälter1]]="","",F4*G4)</f>
        <v>9720</v>
      </c>
      <c r="I4" s="10"/>
    </row>
    <row r="5" spans="1:9" ht="24" customHeight="1" x14ac:dyDescent="0.3">
      <c r="A5" s="8">
        <v>2</v>
      </c>
      <c r="B5" s="32"/>
      <c r="C5" s="9"/>
      <c r="D5" s="9"/>
      <c r="E5" s="9">
        <f>Tabelle215142223456789101112131415161718192021232425262728313233[[#This Row],[Menge/ Behälter]]*Tabelle215142223456789101112131415161718192021232425262728313233[[#This Row],[Anzahl Behälter]]</f>
        <v>0</v>
      </c>
      <c r="F5" s="16"/>
      <c r="G5" s="16"/>
      <c r="H5" s="16" t="str">
        <f>IF(Tabelle215142223456789101112131415161718192021232425262728313233[[#This Row],[Menge/ Behälter1]]="","",F5*G5)</f>
        <v/>
      </c>
      <c r="I5" s="10"/>
    </row>
    <row r="6" spans="1:9" ht="24" customHeight="1" x14ac:dyDescent="0.3">
      <c r="A6" s="8">
        <v>3</v>
      </c>
      <c r="B6" s="32"/>
      <c r="C6" s="9"/>
      <c r="D6" s="9"/>
      <c r="E6" s="9"/>
      <c r="F6" s="16"/>
      <c r="G6" s="16"/>
      <c r="H6" s="16" t="str">
        <f>IF(Tabelle215142223456789101112131415161718192021232425262728313233[[#This Row],[Menge/ Behälter1]]="","",F6*G6)</f>
        <v/>
      </c>
      <c r="I6" s="10"/>
    </row>
    <row r="7" spans="1:9" ht="24" customHeight="1" x14ac:dyDescent="0.3">
      <c r="A7" s="8">
        <v>4</v>
      </c>
      <c r="B7" s="9"/>
      <c r="C7" s="9"/>
      <c r="D7" s="9"/>
      <c r="E7" s="9"/>
      <c r="F7" s="16"/>
      <c r="G7" s="16"/>
      <c r="H7" s="16" t="str">
        <f>IF(Tabelle215142223456789101112131415161718192021232425262728313233[[#This Row],[Menge/ Behälter1]]="","",F7*G7)</f>
        <v/>
      </c>
      <c r="I7" s="10"/>
    </row>
    <row r="8" spans="1:9" ht="24" customHeight="1" x14ac:dyDescent="0.3">
      <c r="A8" s="8">
        <v>5</v>
      </c>
      <c r="B8" s="9"/>
      <c r="C8" s="9"/>
      <c r="D8" s="9"/>
      <c r="E8" s="9"/>
      <c r="F8" s="16"/>
      <c r="G8" s="16"/>
      <c r="H8" s="16" t="str">
        <f>IF(Tabelle215142223456789101112131415161718192021232425262728313233[[#This Row],[Menge/ Behälter1]]="","",F8*G8)</f>
        <v/>
      </c>
      <c r="I8" s="10"/>
    </row>
    <row r="9" spans="1:9" ht="24" customHeight="1" x14ac:dyDescent="0.3">
      <c r="A9" s="8">
        <v>6</v>
      </c>
      <c r="B9" s="9"/>
      <c r="C9" s="9"/>
      <c r="D9" s="9"/>
      <c r="E9" s="9"/>
      <c r="F9" s="16"/>
      <c r="G9" s="16"/>
      <c r="H9" s="16" t="str">
        <f>IF(Tabelle215142223456789101112131415161718192021232425262728313233[[#This Row],[Menge/ Behälter1]]="","",F9*G9)</f>
        <v/>
      </c>
      <c r="I9" s="10"/>
    </row>
    <row r="10" spans="1:9" ht="24" customHeight="1" x14ac:dyDescent="0.3">
      <c r="A10" s="8">
        <v>7</v>
      </c>
      <c r="B10" s="9"/>
      <c r="C10" s="9"/>
      <c r="D10" s="9"/>
      <c r="E10" s="9"/>
      <c r="F10" s="16"/>
      <c r="G10" s="16"/>
      <c r="H10" s="16" t="str">
        <f>IF(Tabelle215142223456789101112131415161718192021232425262728313233[[#This Row],[Menge/ Behälter1]]="","",F10*G10)</f>
        <v/>
      </c>
      <c r="I10" s="10"/>
    </row>
    <row r="11" spans="1:9" ht="24" customHeight="1" x14ac:dyDescent="0.3">
      <c r="A11" s="8">
        <v>8</v>
      </c>
      <c r="B11" s="9"/>
      <c r="C11" s="9"/>
      <c r="D11" s="9"/>
      <c r="E11" s="9"/>
      <c r="F11" s="16"/>
      <c r="G11" s="16"/>
      <c r="H11" s="16" t="str">
        <f>IF(Tabelle215142223456789101112131415161718192021232425262728313233[[#This Row],[Menge/ Behälter1]]="","",F11*G11)</f>
        <v/>
      </c>
      <c r="I11" s="10"/>
    </row>
    <row r="12" spans="1:9" ht="24" customHeight="1" x14ac:dyDescent="0.3">
      <c r="A12" s="8">
        <v>9</v>
      </c>
      <c r="B12" s="9"/>
      <c r="C12" s="9"/>
      <c r="D12" s="9"/>
      <c r="E12" s="9"/>
      <c r="F12" s="16"/>
      <c r="G12" s="16"/>
      <c r="H12" s="16" t="str">
        <f>IF(Tabelle215142223456789101112131415161718192021232425262728313233[[#This Row],[Menge/ Behälter1]]="","",F12*G12)</f>
        <v/>
      </c>
      <c r="I12" s="10"/>
    </row>
    <row r="13" spans="1:9" ht="24" customHeight="1" x14ac:dyDescent="0.3">
      <c r="A13" s="8">
        <v>10</v>
      </c>
      <c r="B13" s="9"/>
      <c r="C13" s="9"/>
      <c r="D13" s="9"/>
      <c r="E13" s="9"/>
      <c r="F13" s="16"/>
      <c r="G13" s="16"/>
      <c r="H13" s="16" t="str">
        <f>IF(Tabelle215142223456789101112131415161718192021232425262728313233[[#This Row],[Menge/ Behälter1]]="","",F13*G13)</f>
        <v/>
      </c>
      <c r="I13" s="10"/>
    </row>
    <row r="14" spans="1:9" ht="24" customHeight="1" x14ac:dyDescent="0.3">
      <c r="A14" s="8">
        <v>11</v>
      </c>
      <c r="B14" s="9"/>
      <c r="C14" s="9"/>
      <c r="D14" s="9"/>
      <c r="E14" s="9"/>
      <c r="F14" s="16"/>
      <c r="G14" s="16"/>
      <c r="H14" s="16" t="str">
        <f>IF(Tabelle215142223456789101112131415161718192021232425262728313233[[#This Row],[Menge/ Behälter1]]="","",F14*G14)</f>
        <v/>
      </c>
      <c r="I14" s="10"/>
    </row>
    <row r="15" spans="1:9" ht="24" customHeight="1" x14ac:dyDescent="0.3">
      <c r="A15" s="8">
        <v>12</v>
      </c>
      <c r="B15" s="9"/>
      <c r="C15" s="9"/>
      <c r="D15" s="9"/>
      <c r="E15" s="9"/>
      <c r="F15" s="16"/>
      <c r="G15" s="16"/>
      <c r="H15" s="16" t="str">
        <f>IF(Tabelle215142223456789101112131415161718192021232425262728313233[[#This Row],[Menge/ Behälter1]]="","",F15*G15)</f>
        <v/>
      </c>
      <c r="I15" s="10"/>
    </row>
    <row r="16" spans="1:9" ht="24" customHeight="1" x14ac:dyDescent="0.3">
      <c r="A16" s="8">
        <v>13</v>
      </c>
      <c r="B16" s="9"/>
      <c r="C16" s="9"/>
      <c r="D16" s="9"/>
      <c r="E16" s="9"/>
      <c r="F16" s="16"/>
      <c r="G16" s="16"/>
      <c r="H16" s="16" t="str">
        <f>IF(Tabelle215142223456789101112131415161718192021232425262728313233[[#This Row],[Menge/ Behälter1]]="","",F16*G16)</f>
        <v/>
      </c>
      <c r="I16" s="10"/>
    </row>
    <row r="17" spans="1:9" ht="24" customHeight="1" x14ac:dyDescent="0.3">
      <c r="A17" s="8">
        <v>14</v>
      </c>
      <c r="B17" s="9"/>
      <c r="C17" s="9"/>
      <c r="D17" s="9"/>
      <c r="E17" s="9"/>
      <c r="F17" s="16"/>
      <c r="G17" s="16"/>
      <c r="H17" s="16" t="str">
        <f>IF(Tabelle215142223456789101112131415161718192021232425262728313233[[#This Row],[Menge/ Behälter1]]="","",F17*G17)</f>
        <v/>
      </c>
      <c r="I17" s="10"/>
    </row>
    <row r="18" spans="1:9" ht="24" customHeight="1" x14ac:dyDescent="0.3">
      <c r="A18" s="8">
        <v>15</v>
      </c>
      <c r="B18" s="9"/>
      <c r="C18" s="9"/>
      <c r="D18" s="9"/>
      <c r="E18" s="9"/>
      <c r="F18" s="16"/>
      <c r="G18" s="16"/>
      <c r="H18" s="16" t="str">
        <f>IF(Tabelle215142223456789101112131415161718192021232425262728313233[[#This Row],[Menge/ Behälter1]]="","",F18*G18)</f>
        <v/>
      </c>
      <c r="I18" s="10"/>
    </row>
    <row r="19" spans="1:9" ht="24" customHeight="1" x14ac:dyDescent="0.3">
      <c r="A19" s="8">
        <v>16</v>
      </c>
      <c r="B19" s="9"/>
      <c r="C19" s="9"/>
      <c r="D19" s="9"/>
      <c r="E19" s="9"/>
      <c r="F19" s="16"/>
      <c r="G19" s="16"/>
      <c r="H19" s="16" t="str">
        <f>IF(Tabelle215142223456789101112131415161718192021232425262728313233[[#This Row],[Menge/ Behälter1]]="","",F19*G19)</f>
        <v/>
      </c>
      <c r="I19" s="10"/>
    </row>
    <row r="20" spans="1:9" ht="24" customHeight="1" x14ac:dyDescent="0.3">
      <c r="A20" s="8">
        <v>17</v>
      </c>
      <c r="B20" s="9"/>
      <c r="C20" s="9"/>
      <c r="D20" s="9"/>
      <c r="E20" s="9"/>
      <c r="F20" s="16"/>
      <c r="G20" s="16"/>
      <c r="H20" s="16" t="str">
        <f>IF(Tabelle215142223456789101112131415161718192021232425262728313233[[#This Row],[Menge/ Behälter1]]="","",F20*G20)</f>
        <v/>
      </c>
      <c r="I20" s="10"/>
    </row>
    <row r="21" spans="1:9" ht="24" customHeight="1" x14ac:dyDescent="0.3">
      <c r="A21" s="8">
        <v>18</v>
      </c>
      <c r="B21" s="9"/>
      <c r="C21" s="9"/>
      <c r="D21" s="9"/>
      <c r="E21" s="9"/>
      <c r="F21" s="16"/>
      <c r="G21" s="16"/>
      <c r="H21" s="16" t="str">
        <f>IF(Tabelle215142223456789101112131415161718192021232425262728313233[[#This Row],[Menge/ Behälter1]]="","",F21*G21)</f>
        <v/>
      </c>
      <c r="I21" s="10"/>
    </row>
    <row r="22" spans="1:9" ht="24" customHeight="1" x14ac:dyDescent="0.3">
      <c r="A22" s="8">
        <v>19</v>
      </c>
      <c r="B22" s="9"/>
      <c r="C22" s="9"/>
      <c r="D22" s="9"/>
      <c r="E22" s="9"/>
      <c r="F22" s="16"/>
      <c r="G22" s="16"/>
      <c r="H22" s="16" t="str">
        <f>IF(Tabelle215142223456789101112131415161718192021232425262728313233[[#This Row],[Menge/ Behälter1]]="","",F22*G22)</f>
        <v/>
      </c>
      <c r="I22" s="10"/>
    </row>
    <row r="23" spans="1:9" ht="24" customHeight="1" x14ac:dyDescent="0.3">
      <c r="A23" s="11">
        <v>20</v>
      </c>
      <c r="B23" s="9"/>
      <c r="C23" s="12"/>
      <c r="D23" s="12"/>
      <c r="E23" s="12"/>
      <c r="F23" s="17"/>
      <c r="G23" s="17"/>
      <c r="H23" s="16" t="str">
        <f>IF(Tabelle215142223456789101112131415161718192021232425262728313233[[#This Row],[Menge/ Behälter1]]="","",F23*G23)</f>
        <v/>
      </c>
      <c r="I23" s="13"/>
    </row>
    <row r="24" spans="1:9" x14ac:dyDescent="0.3">
      <c r="A24" s="11"/>
      <c r="B24" s="12"/>
      <c r="C24" s="12"/>
      <c r="D24" s="12">
        <f>SUBTOTAL(109,Tabelle215142223456789101112131415161718192021232425262728313233[Anzahl Behälter])</f>
        <v>0</v>
      </c>
      <c r="E24" s="12">
        <f>SUBTOTAL(109,Tabelle215142223456789101112131415161718192021232425262728313233[Gesamt-menge])</f>
        <v>0</v>
      </c>
      <c r="F24" s="17"/>
      <c r="G24" s="17">
        <f>SUBTOTAL(109,Tabelle215142223456789101112131415161718192021232425262728313233[Anzahl Behälter1])</f>
        <v>108</v>
      </c>
      <c r="H24" s="17">
        <f>SUBTOTAL(109,Tabelle215142223456789101112131415161718192021232425262728313233[Gesamt-menge1])</f>
        <v>9720</v>
      </c>
      <c r="I24" s="13"/>
    </row>
    <row r="25" spans="1:9" x14ac:dyDescent="0.3">
      <c r="A25" s="14"/>
      <c r="B25" s="14"/>
      <c r="C25" s="14"/>
      <c r="D25" s="14"/>
      <c r="E25" s="14"/>
      <c r="F25" s="14"/>
      <c r="G25" s="14"/>
      <c r="H25" s="14"/>
    </row>
    <row r="26" spans="1:9" ht="28.8" customHeight="1" x14ac:dyDescent="0.3">
      <c r="A26" s="14" t="s">
        <v>7</v>
      </c>
      <c r="B26" s="15"/>
      <c r="C26" s="15"/>
      <c r="D26" s="15"/>
      <c r="E26" s="15"/>
      <c r="F26" s="15"/>
      <c r="G26" s="14"/>
      <c r="H26" s="14"/>
      <c r="I26" s="1"/>
    </row>
  </sheetData>
  <mergeCells count="5">
    <mergeCell ref="A1:E1"/>
    <mergeCell ref="F1:I1"/>
    <mergeCell ref="A2:B2"/>
    <mergeCell ref="C2:E2"/>
    <mergeCell ref="F2:H2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 Wärmetauscher&amp;R&amp;16&amp;D</oddHeader>
    <oddFooter>&amp;RSeite &amp;P</oddFooter>
  </headerFooter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E8A1B-B036-4A67-A5FE-01FD86056F1D}">
  <dimension ref="A1:R27"/>
  <sheetViews>
    <sheetView view="pageLayout" zoomScaleNormal="100" workbookViewId="0">
      <selection sqref="A1:I1"/>
    </sheetView>
  </sheetViews>
  <sheetFormatPr baseColWidth="10" defaultRowHeight="14.4" x14ac:dyDescent="0.3"/>
  <cols>
    <col min="1" max="1" width="5.5546875" customWidth="1"/>
    <col min="2" max="2" width="16.6640625" customWidth="1"/>
    <col min="3" max="3" width="8.44140625" customWidth="1"/>
    <col min="4" max="4" width="8" customWidth="1"/>
    <col min="5" max="5" width="8.21875" customWidth="1"/>
    <col min="6" max="6" width="8.109375" customWidth="1"/>
    <col min="7" max="7" width="8.5546875" customWidth="1"/>
    <col min="8" max="8" width="8.88671875" customWidth="1"/>
    <col min="9" max="9" width="12.44140625" customWidth="1"/>
    <col min="10" max="10" width="5.5546875" customWidth="1"/>
    <col min="11" max="11" width="16.6640625" customWidth="1"/>
    <col min="12" max="12" width="8.44140625" customWidth="1"/>
    <col min="13" max="13" width="8" customWidth="1"/>
    <col min="14" max="14" width="8.21875" customWidth="1"/>
    <col min="15" max="15" width="8.109375" customWidth="1"/>
    <col min="16" max="16" width="8.5546875" customWidth="1"/>
    <col min="17" max="17" width="8.88671875" customWidth="1"/>
    <col min="18" max="18" width="12.44140625" customWidth="1"/>
  </cols>
  <sheetData>
    <row r="1" spans="1:18" ht="25.8" x14ac:dyDescent="0.3">
      <c r="A1" s="19" t="s">
        <v>1</v>
      </c>
      <c r="B1" s="20"/>
      <c r="C1" s="20"/>
      <c r="D1" s="20"/>
      <c r="E1" s="20"/>
      <c r="F1" s="20"/>
      <c r="G1" s="20"/>
      <c r="H1" s="20"/>
      <c r="I1" s="21"/>
      <c r="J1" s="19" t="s">
        <v>1</v>
      </c>
      <c r="K1" s="20"/>
      <c r="L1" s="20"/>
      <c r="M1" s="20"/>
      <c r="N1" s="20"/>
      <c r="O1" s="20"/>
      <c r="P1" s="20"/>
      <c r="Q1" s="20"/>
      <c r="R1" s="21"/>
    </row>
    <row r="2" spans="1:18" ht="39" x14ac:dyDescent="0.75">
      <c r="A2" s="27" t="s">
        <v>19</v>
      </c>
      <c r="B2" s="28"/>
      <c r="C2" s="28"/>
      <c r="D2" s="28"/>
      <c r="E2" s="28"/>
      <c r="F2" s="28"/>
      <c r="G2" s="28"/>
      <c r="H2" s="28"/>
      <c r="I2" s="29"/>
      <c r="J2" s="27"/>
      <c r="K2" s="28"/>
      <c r="L2" s="28"/>
      <c r="M2" s="28"/>
      <c r="N2" s="28"/>
      <c r="O2" s="28"/>
      <c r="P2" s="28"/>
      <c r="Q2" s="28"/>
      <c r="R2" s="29"/>
    </row>
    <row r="3" spans="1:18" ht="39" x14ac:dyDescent="0.75">
      <c r="A3" s="30"/>
      <c r="B3" s="30"/>
      <c r="C3" s="25" t="s">
        <v>11</v>
      </c>
      <c r="D3" s="26"/>
      <c r="E3" s="26"/>
      <c r="F3" s="25" t="s">
        <v>15</v>
      </c>
      <c r="G3" s="26"/>
      <c r="H3" s="26"/>
      <c r="I3" s="2"/>
      <c r="J3" s="30"/>
      <c r="K3" s="30"/>
      <c r="L3" s="25" t="s">
        <v>11</v>
      </c>
      <c r="M3" s="26"/>
      <c r="N3" s="26"/>
      <c r="O3" s="25" t="s">
        <v>15</v>
      </c>
      <c r="P3" s="26"/>
      <c r="Q3" s="26"/>
      <c r="R3" s="2"/>
    </row>
    <row r="4" spans="1:18" ht="33.6" customHeight="1" x14ac:dyDescent="0.3">
      <c r="A4" s="4" t="s">
        <v>17</v>
      </c>
      <c r="B4" s="5" t="s">
        <v>18</v>
      </c>
      <c r="C4" s="6" t="s">
        <v>3</v>
      </c>
      <c r="D4" s="6" t="s">
        <v>4</v>
      </c>
      <c r="E4" s="6" t="s">
        <v>5</v>
      </c>
      <c r="F4" s="6" t="s">
        <v>12</v>
      </c>
      <c r="G4" s="6" t="s">
        <v>13</v>
      </c>
      <c r="H4" s="6" t="s">
        <v>14</v>
      </c>
      <c r="I4" s="7" t="s">
        <v>6</v>
      </c>
      <c r="J4" s="4" t="s">
        <v>17</v>
      </c>
      <c r="K4" s="5" t="s">
        <v>1</v>
      </c>
      <c r="L4" s="6" t="s">
        <v>3</v>
      </c>
      <c r="M4" s="6" t="s">
        <v>4</v>
      </c>
      <c r="N4" s="6" t="s">
        <v>5</v>
      </c>
      <c r="O4" s="6" t="s">
        <v>12</v>
      </c>
      <c r="P4" s="6" t="s">
        <v>13</v>
      </c>
      <c r="Q4" s="6" t="s">
        <v>14</v>
      </c>
      <c r="R4" s="7" t="s">
        <v>6</v>
      </c>
    </row>
    <row r="5" spans="1:18" ht="24" customHeight="1" x14ac:dyDescent="0.3">
      <c r="A5" s="8"/>
      <c r="B5" s="18" t="s">
        <v>20</v>
      </c>
      <c r="C5" s="9">
        <v>40</v>
      </c>
      <c r="D5" s="9">
        <v>24</v>
      </c>
      <c r="E5" s="9">
        <f>+Tabelle2151429[[#This Row],[Menge/ Behälter]]*Tabelle2151429[[#This Row],[Anzahl Behälter]]</f>
        <v>960</v>
      </c>
      <c r="F5" s="16"/>
      <c r="G5" s="16"/>
      <c r="H5" s="16" t="str">
        <f>IF(Tabelle2151429[[#This Row],[Menge/ Behälter1]]="","",F5*G5)</f>
        <v/>
      </c>
      <c r="I5" s="10"/>
      <c r="J5" s="8"/>
      <c r="K5" s="9"/>
      <c r="L5" s="12"/>
      <c r="M5" s="12"/>
      <c r="N5" s="12"/>
      <c r="O5" s="17"/>
      <c r="P5" s="17"/>
      <c r="Q5" s="16" t="str">
        <f>IF(Tabelle215142930[[#This Row],[Menge/ Behälter1]]="","",O5*P5)</f>
        <v/>
      </c>
      <c r="R5" s="10"/>
    </row>
    <row r="6" spans="1:18" ht="24" customHeight="1" x14ac:dyDescent="0.3">
      <c r="A6" s="8"/>
      <c r="B6" s="18" t="s">
        <v>21</v>
      </c>
      <c r="C6" s="9">
        <v>40</v>
      </c>
      <c r="D6" s="9">
        <v>24</v>
      </c>
      <c r="E6" s="9">
        <f>+Tabelle2151429[[#This Row],[Menge/ Behälter]]*Tabelle2151429[[#This Row],[Anzahl Behälter]]</f>
        <v>960</v>
      </c>
      <c r="F6" s="16"/>
      <c r="G6" s="16"/>
      <c r="H6" s="16" t="str">
        <f>IF(Tabelle2151429[[#This Row],[Menge/ Behälter1]]="","",F6*G6)</f>
        <v/>
      </c>
      <c r="I6" s="10"/>
      <c r="J6" s="8"/>
      <c r="K6" s="9"/>
      <c r="L6" s="9"/>
      <c r="M6" s="9"/>
      <c r="N6" s="9"/>
      <c r="O6" s="16"/>
      <c r="P6" s="16"/>
      <c r="Q6" s="16" t="str">
        <f>IF(Tabelle215142930[[#This Row],[Menge/ Behälter1]]="","",O6*P6)</f>
        <v/>
      </c>
      <c r="R6" s="10"/>
    </row>
    <row r="7" spans="1:18" ht="24" customHeight="1" x14ac:dyDescent="0.3">
      <c r="A7" s="8"/>
      <c r="B7" s="18" t="s">
        <v>22</v>
      </c>
      <c r="C7" s="9">
        <v>40</v>
      </c>
      <c r="D7" s="9">
        <v>24</v>
      </c>
      <c r="E7" s="9">
        <f>+Tabelle2151429[[#This Row],[Menge/ Behälter]]*Tabelle2151429[[#This Row],[Anzahl Behälter]]</f>
        <v>960</v>
      </c>
      <c r="F7" s="16"/>
      <c r="G7" s="16"/>
      <c r="H7" s="16" t="str">
        <f>IF(Tabelle2151429[[#This Row],[Menge/ Behälter1]]="","",F7*G7)</f>
        <v/>
      </c>
      <c r="I7" s="10"/>
      <c r="J7" s="8"/>
      <c r="K7" s="9"/>
      <c r="L7" s="9"/>
      <c r="M7" s="9"/>
      <c r="N7" s="9"/>
      <c r="O7" s="16"/>
      <c r="P7" s="16"/>
      <c r="Q7" s="16" t="str">
        <f>IF(Tabelle215142930[[#This Row],[Menge/ Behälter1]]="","",O7*P7)</f>
        <v/>
      </c>
      <c r="R7" s="10"/>
    </row>
    <row r="8" spans="1:18" ht="24" customHeight="1" x14ac:dyDescent="0.3">
      <c r="A8" s="8"/>
      <c r="B8" s="18" t="s">
        <v>23</v>
      </c>
      <c r="C8" s="9">
        <v>40</v>
      </c>
      <c r="D8" s="9">
        <v>24</v>
      </c>
      <c r="E8" s="9">
        <f>+Tabelle2151429[[#This Row],[Menge/ Behälter]]*Tabelle2151429[[#This Row],[Anzahl Behälter]]</f>
        <v>960</v>
      </c>
      <c r="F8" s="16"/>
      <c r="G8" s="16"/>
      <c r="H8" s="16" t="str">
        <f>IF(Tabelle2151429[[#This Row],[Menge/ Behälter1]]="","",F8*G8)</f>
        <v/>
      </c>
      <c r="I8" s="10"/>
      <c r="J8" s="8"/>
      <c r="K8" s="9"/>
      <c r="L8" s="9"/>
      <c r="M8" s="9"/>
      <c r="N8" s="9"/>
      <c r="O8" s="16"/>
      <c r="P8" s="16"/>
      <c r="Q8" s="16" t="str">
        <f>IF(Tabelle215142930[[#This Row],[Menge/ Behälter1]]="","",O8*P8)</f>
        <v/>
      </c>
      <c r="R8" s="10"/>
    </row>
    <row r="9" spans="1:18" ht="24" customHeight="1" x14ac:dyDescent="0.3">
      <c r="A9" s="8"/>
      <c r="B9" s="18" t="s">
        <v>24</v>
      </c>
      <c r="C9" s="9">
        <v>40</v>
      </c>
      <c r="D9" s="9">
        <v>24</v>
      </c>
      <c r="E9" s="9">
        <f>+Tabelle2151429[[#This Row],[Menge/ Behälter]]*Tabelle2151429[[#This Row],[Anzahl Behälter]]</f>
        <v>960</v>
      </c>
      <c r="F9" s="16"/>
      <c r="G9" s="16"/>
      <c r="H9" s="16" t="str">
        <f>IF(Tabelle2151429[[#This Row],[Menge/ Behälter1]]="","",F9*G9)</f>
        <v/>
      </c>
      <c r="I9" s="10"/>
      <c r="J9" s="8"/>
      <c r="K9" s="9"/>
      <c r="L9" s="9"/>
      <c r="M9" s="9"/>
      <c r="N9" s="9"/>
      <c r="O9" s="16"/>
      <c r="P9" s="16"/>
      <c r="Q9" s="16" t="str">
        <f>IF(Tabelle215142930[[#This Row],[Menge/ Behälter1]]="","",O9*P9)</f>
        <v/>
      </c>
      <c r="R9" s="10"/>
    </row>
    <row r="10" spans="1:18" ht="24" customHeight="1" x14ac:dyDescent="0.3">
      <c r="A10" s="8"/>
      <c r="B10" s="18" t="s">
        <v>25</v>
      </c>
      <c r="C10" s="9">
        <v>40</v>
      </c>
      <c r="D10" s="9">
        <v>24</v>
      </c>
      <c r="E10" s="9">
        <f>+Tabelle2151429[[#This Row],[Menge/ Behälter]]*Tabelle2151429[[#This Row],[Anzahl Behälter]]</f>
        <v>960</v>
      </c>
      <c r="F10" s="16"/>
      <c r="G10" s="16"/>
      <c r="H10" s="16" t="str">
        <f>IF(Tabelle2151429[[#This Row],[Menge/ Behälter1]]="","",F10*G10)</f>
        <v/>
      </c>
      <c r="I10" s="10"/>
      <c r="J10" s="8"/>
      <c r="K10" s="9"/>
      <c r="L10" s="9"/>
      <c r="M10" s="9"/>
      <c r="N10" s="9"/>
      <c r="O10" s="16"/>
      <c r="P10" s="16"/>
      <c r="Q10" s="16" t="str">
        <f>IF(Tabelle215142930[[#This Row],[Menge/ Behälter1]]="","",O10*P10)</f>
        <v/>
      </c>
      <c r="R10" s="10"/>
    </row>
    <row r="11" spans="1:18" ht="24" customHeight="1" x14ac:dyDescent="0.3">
      <c r="A11" s="8"/>
      <c r="B11" s="18" t="s">
        <v>26</v>
      </c>
      <c r="C11" s="9">
        <v>40</v>
      </c>
      <c r="D11" s="9">
        <v>24</v>
      </c>
      <c r="E11" s="9">
        <f>+Tabelle2151429[[#This Row],[Menge/ Behälter]]*Tabelle2151429[[#This Row],[Anzahl Behälter]]</f>
        <v>960</v>
      </c>
      <c r="F11" s="16"/>
      <c r="G11" s="16"/>
      <c r="H11" s="16" t="str">
        <f>IF(Tabelle2151429[[#This Row],[Menge/ Behälter1]]="","",F11*G11)</f>
        <v/>
      </c>
      <c r="I11" s="10"/>
      <c r="J11" s="8"/>
      <c r="K11" s="9"/>
      <c r="L11" s="9"/>
      <c r="M11" s="9"/>
      <c r="N11" s="9"/>
      <c r="O11" s="16"/>
      <c r="P11" s="16"/>
      <c r="Q11" s="16" t="str">
        <f>IF(Tabelle215142930[[#This Row],[Menge/ Behälter1]]="","",O11*P11)</f>
        <v/>
      </c>
      <c r="R11" s="10"/>
    </row>
    <row r="12" spans="1:18" ht="24" customHeight="1" x14ac:dyDescent="0.3">
      <c r="A12" s="8"/>
      <c r="B12" s="18" t="s">
        <v>27</v>
      </c>
      <c r="C12" s="9">
        <v>40</v>
      </c>
      <c r="D12" s="9">
        <v>24</v>
      </c>
      <c r="E12" s="9">
        <f>+Tabelle2151429[[#This Row],[Menge/ Behälter]]*Tabelle2151429[[#This Row],[Anzahl Behälter]]</f>
        <v>960</v>
      </c>
      <c r="F12" s="16"/>
      <c r="G12" s="16"/>
      <c r="H12" s="16" t="str">
        <f>IF(Tabelle2151429[[#This Row],[Menge/ Behälter1]]="","",F12*G12)</f>
        <v/>
      </c>
      <c r="I12" s="10"/>
      <c r="J12" s="8"/>
      <c r="K12" s="9"/>
      <c r="L12" s="9"/>
      <c r="M12" s="9"/>
      <c r="N12" s="9"/>
      <c r="O12" s="16"/>
      <c r="P12" s="16"/>
      <c r="Q12" s="16" t="str">
        <f>IF(Tabelle215142930[[#This Row],[Menge/ Behälter1]]="","",O12*P12)</f>
        <v/>
      </c>
      <c r="R12" s="10"/>
    </row>
    <row r="13" spans="1:18" ht="24" customHeight="1" x14ac:dyDescent="0.3">
      <c r="A13" s="8"/>
      <c r="B13" s="18" t="s">
        <v>28</v>
      </c>
      <c r="C13" s="9">
        <v>40</v>
      </c>
      <c r="D13" s="9">
        <v>24</v>
      </c>
      <c r="E13" s="9">
        <f>+Tabelle2151429[[#This Row],[Menge/ Behälter]]*Tabelle2151429[[#This Row],[Anzahl Behälter]]</f>
        <v>960</v>
      </c>
      <c r="F13" s="16"/>
      <c r="G13" s="16"/>
      <c r="H13" s="16" t="str">
        <f>IF(Tabelle2151429[[#This Row],[Menge/ Behälter1]]="","",F13*G13)</f>
        <v/>
      </c>
      <c r="I13" s="10"/>
      <c r="J13" s="8"/>
      <c r="K13" s="9"/>
      <c r="L13" s="9"/>
      <c r="M13" s="9"/>
      <c r="N13" s="9"/>
      <c r="O13" s="16"/>
      <c r="P13" s="16"/>
      <c r="Q13" s="16" t="str">
        <f>IF(Tabelle215142930[[#This Row],[Menge/ Behälter1]]="","",O13*P13)</f>
        <v/>
      </c>
      <c r="R13" s="10"/>
    </row>
    <row r="14" spans="1:18" ht="24" customHeight="1" x14ac:dyDescent="0.3">
      <c r="A14" s="8"/>
      <c r="B14" s="9"/>
      <c r="C14" s="9"/>
      <c r="D14" s="9"/>
      <c r="E14" s="9"/>
      <c r="F14" s="16"/>
      <c r="G14" s="16"/>
      <c r="H14" s="16" t="str">
        <f>IF(Tabelle2151429[[#This Row],[Menge/ Behälter1]]="","",F14*G14)</f>
        <v/>
      </c>
      <c r="I14" s="10"/>
      <c r="J14" s="8"/>
      <c r="K14" s="9"/>
      <c r="L14" s="9"/>
      <c r="M14" s="9"/>
      <c r="N14" s="9"/>
      <c r="O14" s="16"/>
      <c r="P14" s="16"/>
      <c r="Q14" s="16" t="str">
        <f>IF(Tabelle215142930[[#This Row],[Menge/ Behälter1]]="","",O14*P14)</f>
        <v/>
      </c>
      <c r="R14" s="10"/>
    </row>
    <row r="15" spans="1:18" ht="24" customHeight="1" x14ac:dyDescent="0.3">
      <c r="A15" s="8"/>
      <c r="B15" s="9"/>
      <c r="C15" s="9"/>
      <c r="D15" s="9"/>
      <c r="E15" s="9"/>
      <c r="F15" s="16"/>
      <c r="G15" s="16"/>
      <c r="H15" s="16" t="str">
        <f>IF(Tabelle2151429[[#This Row],[Menge/ Behälter1]]="","",F15*G15)</f>
        <v/>
      </c>
      <c r="I15" s="10"/>
      <c r="J15" s="8"/>
      <c r="K15" s="9"/>
      <c r="L15" s="9"/>
      <c r="M15" s="9"/>
      <c r="N15" s="9"/>
      <c r="O15" s="16"/>
      <c r="P15" s="16"/>
      <c r="Q15" s="16" t="str">
        <f>IF(Tabelle215142930[[#This Row],[Menge/ Behälter1]]="","",O15*P15)</f>
        <v/>
      </c>
      <c r="R15" s="10"/>
    </row>
    <row r="16" spans="1:18" ht="24" customHeight="1" x14ac:dyDescent="0.3">
      <c r="A16" s="8"/>
      <c r="B16" s="9"/>
      <c r="C16" s="9"/>
      <c r="D16" s="9"/>
      <c r="E16" s="9"/>
      <c r="F16" s="16"/>
      <c r="G16" s="16"/>
      <c r="H16" s="16" t="str">
        <f>IF(Tabelle2151429[[#This Row],[Menge/ Behälter1]]="","",F16*G16)</f>
        <v/>
      </c>
      <c r="I16" s="10"/>
      <c r="J16" s="8"/>
      <c r="K16" s="9"/>
      <c r="L16" s="9"/>
      <c r="M16" s="9"/>
      <c r="N16" s="9"/>
      <c r="O16" s="16"/>
      <c r="P16" s="16"/>
      <c r="Q16" s="16" t="str">
        <f>IF(Tabelle215142930[[#This Row],[Menge/ Behälter1]]="","",O16*P16)</f>
        <v/>
      </c>
      <c r="R16" s="10"/>
    </row>
    <row r="17" spans="1:18" ht="24" customHeight="1" x14ac:dyDescent="0.3">
      <c r="A17" s="8"/>
      <c r="B17" s="9"/>
      <c r="C17" s="9"/>
      <c r="D17" s="9"/>
      <c r="E17" s="9"/>
      <c r="F17" s="16"/>
      <c r="G17" s="16"/>
      <c r="H17" s="16" t="str">
        <f>IF(Tabelle2151429[[#This Row],[Menge/ Behälter1]]="","",F17*G17)</f>
        <v/>
      </c>
      <c r="I17" s="10"/>
      <c r="J17" s="8"/>
      <c r="K17" s="9"/>
      <c r="L17" s="9"/>
      <c r="M17" s="9"/>
      <c r="N17" s="9"/>
      <c r="O17" s="16"/>
      <c r="P17" s="16"/>
      <c r="Q17" s="16" t="str">
        <f>IF(Tabelle215142930[[#This Row],[Menge/ Behälter1]]="","",O17*P17)</f>
        <v/>
      </c>
      <c r="R17" s="10"/>
    </row>
    <row r="18" spans="1:18" ht="24" customHeight="1" x14ac:dyDescent="0.3">
      <c r="A18" s="8"/>
      <c r="B18" s="9"/>
      <c r="C18" s="9"/>
      <c r="D18" s="9"/>
      <c r="E18" s="9"/>
      <c r="F18" s="16"/>
      <c r="G18" s="16"/>
      <c r="H18" s="16" t="str">
        <f>IF(Tabelle2151429[[#This Row],[Menge/ Behälter1]]="","",F18*G18)</f>
        <v/>
      </c>
      <c r="I18" s="10"/>
      <c r="J18" s="8"/>
      <c r="K18" s="9"/>
      <c r="L18" s="9"/>
      <c r="M18" s="9"/>
      <c r="N18" s="9"/>
      <c r="O18" s="16"/>
      <c r="P18" s="16"/>
      <c r="Q18" s="16" t="str">
        <f>IF(Tabelle215142930[[#This Row],[Menge/ Behälter1]]="","",O18*P18)</f>
        <v/>
      </c>
      <c r="R18" s="10"/>
    </row>
    <row r="19" spans="1:18" ht="24" customHeight="1" x14ac:dyDescent="0.3">
      <c r="A19" s="8"/>
      <c r="B19" s="9"/>
      <c r="C19" s="9"/>
      <c r="D19" s="9"/>
      <c r="E19" s="9"/>
      <c r="F19" s="16"/>
      <c r="G19" s="16"/>
      <c r="H19" s="16" t="str">
        <f>IF(Tabelle2151429[[#This Row],[Menge/ Behälter1]]="","",F19*G19)</f>
        <v/>
      </c>
      <c r="I19" s="10"/>
      <c r="J19" s="8"/>
      <c r="K19" s="9"/>
      <c r="L19" s="9"/>
      <c r="M19" s="9"/>
      <c r="N19" s="9"/>
      <c r="O19" s="16"/>
      <c r="P19" s="16"/>
      <c r="Q19" s="16" t="str">
        <f>IF(Tabelle215142930[[#This Row],[Menge/ Behälter1]]="","",O19*P19)</f>
        <v/>
      </c>
      <c r="R19" s="10"/>
    </row>
    <row r="20" spans="1:18" ht="24" customHeight="1" x14ac:dyDescent="0.3">
      <c r="A20" s="8"/>
      <c r="B20" s="9"/>
      <c r="C20" s="9"/>
      <c r="D20" s="9"/>
      <c r="E20" s="9"/>
      <c r="F20" s="16"/>
      <c r="G20" s="16"/>
      <c r="H20" s="16" t="str">
        <f>IF(Tabelle2151429[[#This Row],[Menge/ Behälter1]]="","",F20*G20)</f>
        <v/>
      </c>
      <c r="I20" s="10"/>
      <c r="J20" s="8"/>
      <c r="K20" s="9"/>
      <c r="L20" s="9"/>
      <c r="M20" s="9"/>
      <c r="N20" s="9"/>
      <c r="O20" s="16"/>
      <c r="P20" s="16"/>
      <c r="Q20" s="16" t="str">
        <f>IF(Tabelle215142930[[#This Row],[Menge/ Behälter1]]="","",O20*P20)</f>
        <v/>
      </c>
      <c r="R20" s="10"/>
    </row>
    <row r="21" spans="1:18" ht="24" customHeight="1" x14ac:dyDescent="0.3">
      <c r="A21" s="8"/>
      <c r="B21" s="9"/>
      <c r="C21" s="9"/>
      <c r="D21" s="9"/>
      <c r="E21" s="9"/>
      <c r="F21" s="16"/>
      <c r="G21" s="16"/>
      <c r="H21" s="16" t="str">
        <f>IF(Tabelle2151429[[#This Row],[Menge/ Behälter1]]="","",F21*G21)</f>
        <v/>
      </c>
      <c r="I21" s="10"/>
      <c r="J21" s="8"/>
      <c r="K21" s="9"/>
      <c r="L21" s="9"/>
      <c r="M21" s="9"/>
      <c r="N21" s="9"/>
      <c r="O21" s="16"/>
      <c r="P21" s="16"/>
      <c r="Q21" s="16" t="str">
        <f>IF(Tabelle215142930[[#This Row],[Menge/ Behälter1]]="","",O21*P21)</f>
        <v/>
      </c>
      <c r="R21" s="10"/>
    </row>
    <row r="22" spans="1:18" ht="24" customHeight="1" x14ac:dyDescent="0.3">
      <c r="A22" s="8"/>
      <c r="B22" s="9"/>
      <c r="C22" s="9"/>
      <c r="D22" s="9"/>
      <c r="E22" s="9"/>
      <c r="F22" s="16"/>
      <c r="G22" s="16"/>
      <c r="H22" s="16" t="str">
        <f>IF(Tabelle2151429[[#This Row],[Menge/ Behälter1]]="","",F22*G22)</f>
        <v/>
      </c>
      <c r="I22" s="10"/>
      <c r="J22" s="8"/>
      <c r="K22" s="9"/>
      <c r="L22" s="9"/>
      <c r="M22" s="9"/>
      <c r="N22" s="9"/>
      <c r="O22" s="16"/>
      <c r="P22" s="16"/>
      <c r="Q22" s="16" t="str">
        <f>IF(Tabelle215142930[[#This Row],[Menge/ Behälter1]]="","",O22*P22)</f>
        <v/>
      </c>
      <c r="R22" s="10"/>
    </row>
    <row r="23" spans="1:18" ht="24" customHeight="1" x14ac:dyDescent="0.3">
      <c r="A23" s="8"/>
      <c r="B23" s="9"/>
      <c r="C23" s="9"/>
      <c r="D23" s="9"/>
      <c r="E23" s="9"/>
      <c r="F23" s="16"/>
      <c r="G23" s="16"/>
      <c r="H23" s="16" t="str">
        <f>IF(Tabelle2151429[[#This Row],[Menge/ Behälter1]]="","",F23*G23)</f>
        <v/>
      </c>
      <c r="I23" s="10"/>
      <c r="J23" s="8"/>
      <c r="K23" s="9"/>
      <c r="L23" s="9"/>
      <c r="M23" s="9"/>
      <c r="N23" s="9"/>
      <c r="O23" s="16"/>
      <c r="P23" s="16"/>
      <c r="Q23" s="16" t="str">
        <f>IF(Tabelle215142930[[#This Row],[Menge/ Behälter1]]="","",O23*P23)</f>
        <v/>
      </c>
      <c r="R23" s="10"/>
    </row>
    <row r="24" spans="1:18" ht="24" customHeight="1" x14ac:dyDescent="0.3">
      <c r="A24" s="8"/>
      <c r="B24" s="9"/>
      <c r="C24" s="9"/>
      <c r="D24" s="9"/>
      <c r="E24" s="9"/>
      <c r="F24" s="16"/>
      <c r="G24" s="16"/>
      <c r="H24" s="16" t="str">
        <f>IF(Tabelle2151429[[#This Row],[Menge/ Behälter1]]="","",F24*G24)</f>
        <v/>
      </c>
      <c r="I24" s="13"/>
      <c r="J24" s="8"/>
      <c r="K24" s="9"/>
      <c r="L24" s="12"/>
      <c r="M24" s="12"/>
      <c r="N24" s="12"/>
      <c r="O24" s="17"/>
      <c r="P24" s="17"/>
      <c r="Q24" s="16" t="str">
        <f>IF(Tabelle215142930[[#This Row],[Menge/ Behälter1]]="","",O24*P24)</f>
        <v/>
      </c>
      <c r="R24" s="13"/>
    </row>
    <row r="25" spans="1:18" x14ac:dyDescent="0.3">
      <c r="A25" s="11"/>
      <c r="B25" s="12"/>
      <c r="C25" s="12"/>
      <c r="D25" s="12">
        <f>SUBTOTAL(109,Tabelle2151429[Anzahl Behälter])</f>
        <v>216</v>
      </c>
      <c r="E25" s="12">
        <f>SUBTOTAL(109,Tabelle2151429[Gesamt-menge])</f>
        <v>8640</v>
      </c>
      <c r="F25" s="17"/>
      <c r="G25" s="17">
        <f>SUBTOTAL(109,Tabelle2151429[Anzahl Behälter1])</f>
        <v>0</v>
      </c>
      <c r="H25" s="17">
        <f>SUBTOTAL(109,Tabelle2151429[Gesamt-menge1])</f>
        <v>0</v>
      </c>
      <c r="I25" s="13"/>
      <c r="J25" s="11"/>
      <c r="K25" s="12"/>
      <c r="L25" s="12"/>
      <c r="M25" s="12">
        <f>SUBTOTAL(109,Tabelle215142930[Anzahl Behälter])</f>
        <v>0</v>
      </c>
      <c r="N25" s="12">
        <f>SUBTOTAL(109,Tabelle215142930[Gesamt-menge])</f>
        <v>0</v>
      </c>
      <c r="O25" s="17"/>
      <c r="P25" s="17">
        <f>SUBTOTAL(109,Tabelle215142930[Anzahl Behälter1])</f>
        <v>0</v>
      </c>
      <c r="Q25" s="17">
        <f>SUBTOTAL(109,Tabelle215142930[Gesamt-menge1])</f>
        <v>0</v>
      </c>
      <c r="R25" s="13"/>
    </row>
    <row r="26" spans="1:18" x14ac:dyDescent="0.3">
      <c r="A26" s="14"/>
      <c r="B26" s="14"/>
      <c r="C26" s="14"/>
      <c r="D26" s="14"/>
      <c r="E26" s="14"/>
      <c r="F26" s="14"/>
      <c r="G26" s="14"/>
      <c r="H26" s="14"/>
      <c r="J26" s="14"/>
      <c r="K26" s="14"/>
      <c r="L26" s="14"/>
      <c r="M26" s="14"/>
      <c r="N26" s="14"/>
      <c r="O26" s="14"/>
      <c r="P26" s="14"/>
      <c r="Q26" s="14"/>
    </row>
    <row r="27" spans="1:18" ht="28.8" customHeight="1" x14ac:dyDescent="0.3">
      <c r="A27" s="14" t="s">
        <v>7</v>
      </c>
      <c r="B27" s="15"/>
      <c r="C27" s="15"/>
      <c r="D27" s="15"/>
      <c r="E27" s="15"/>
      <c r="F27" s="15"/>
      <c r="G27" s="15"/>
      <c r="H27" s="15"/>
      <c r="I27" s="1"/>
      <c r="J27" s="14" t="s">
        <v>7</v>
      </c>
      <c r="K27" s="15"/>
      <c r="L27" s="15"/>
      <c r="M27" s="15"/>
      <c r="N27" s="15"/>
      <c r="O27" s="15"/>
      <c r="P27" s="15"/>
      <c r="Q27" s="15"/>
      <c r="R27" s="1"/>
    </row>
  </sheetData>
  <mergeCells count="10">
    <mergeCell ref="A2:I2"/>
    <mergeCell ref="J1:R1"/>
    <mergeCell ref="J2:R2"/>
    <mergeCell ref="J3:K3"/>
    <mergeCell ref="L3:N3"/>
    <mergeCell ref="O3:Q3"/>
    <mergeCell ref="A3:B3"/>
    <mergeCell ref="C3:E3"/>
    <mergeCell ref="F3:H3"/>
    <mergeCell ref="A1:I1"/>
  </mergeCells>
  <pageMargins left="0.7" right="0.7" top="0.78740157499999996" bottom="0.78740157499999996" header="0.3" footer="0.3"/>
  <pageSetup paperSize="9" orientation="portrait" r:id="rId1"/>
  <headerFooter>
    <oddHeader>&amp;L&amp;16Zwischeninventur&amp;C&amp;16Zählliste&amp;R&amp;16 16.01.2026</oddHeader>
    <oddFooter>&amp;RSeite &amp;P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CDateModified xmlns="http://schemas.microsoft.com/sharepoint/v3/fields" xsi:nil="true"/>
    <TaxCatchAll xmlns="e7421f67-95de-47b3-9e2f-819dea5dad9b" xsi:nil="true"/>
    <lcf76f155ced4ddcb4097134ff3c332f xmlns="e57e7513-d9b9-49e5-987a-399031dd01e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401938634077447B0E2412630AA2E7B" ma:contentTypeVersion="25" ma:contentTypeDescription="Ein neues Dokument erstellen." ma:contentTypeScope="" ma:versionID="89f588b9cb6669068ecb88495f383165">
  <xsd:schema xmlns:xsd="http://www.w3.org/2001/XMLSchema" xmlns:xs="http://www.w3.org/2001/XMLSchema" xmlns:p="http://schemas.microsoft.com/office/2006/metadata/properties" xmlns:ns2="e7421f67-95de-47b3-9e2f-819dea5dad9b" xmlns:ns3="e57e7513-d9b9-49e5-987a-399031dd01e9" xmlns:ns4="http://schemas.microsoft.com/sharepoint/v3/fields" targetNamespace="http://schemas.microsoft.com/office/2006/metadata/properties" ma:root="true" ma:fieldsID="edf952c9d6387d0d1f160fa5efa27c9c" ns2:_="" ns3:_="" ns4:_="">
    <xsd:import namespace="e7421f67-95de-47b3-9e2f-819dea5dad9b"/>
    <xsd:import namespace="e57e7513-d9b9-49e5-987a-399031dd01e9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_DCDateModified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421f67-95de-47b3-9e2f-819dea5dad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ae10ac3-38c1-432d-88af-48592f79033b}" ma:internalName="TaxCatchAll" ma:showField="CatchAllData" ma:web="e7421f67-95de-47b3-9e2f-819dea5dad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e7513-d9b9-49e5-987a-399031dd0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99aacd2c-470f-4ec8-8375-c08ff94313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18" nillable="true" ma:displayName="Geändert am" ma:description="Das Datum, an dem diese Ressource zuletzt geändert wurde" ma:format="DateTime" ma:internalName="_DCDateModifi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C21456-E3EA-4F67-94E2-503C168BD3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07FC0E-0DF7-4A55-B32C-26773A8ED5F2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e7421f67-95de-47b3-9e2f-819dea5dad9b"/>
    <ds:schemaRef ds:uri="e57e7513-d9b9-49e5-987a-399031dd01e9"/>
  </ds:schemaRefs>
</ds:datastoreItem>
</file>

<file path=customXml/itemProps3.xml><?xml version="1.0" encoding="utf-8"?>
<ds:datastoreItem xmlns:ds="http://schemas.openxmlformats.org/officeDocument/2006/customXml" ds:itemID="{21DC937D-ED09-4ADC-8514-712F51FD79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421f67-95de-47b3-9e2f-819dea5dad9b"/>
    <ds:schemaRef ds:uri="e57e7513-d9b9-49e5-987a-399031dd01e9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31</vt:i4>
      </vt:variant>
    </vt:vector>
  </HeadingPairs>
  <TitlesOfParts>
    <vt:vector size="31" baseType="lpstr">
      <vt:lpstr>H3-R01</vt:lpstr>
      <vt:lpstr>H3-R02</vt:lpstr>
      <vt:lpstr>H3-R03</vt:lpstr>
      <vt:lpstr>H3-R04</vt:lpstr>
      <vt:lpstr>H3-R05</vt:lpstr>
      <vt:lpstr>H3-R06</vt:lpstr>
      <vt:lpstr>H3-R07</vt:lpstr>
      <vt:lpstr>H3-R08</vt:lpstr>
      <vt:lpstr>H3-R09</vt:lpstr>
      <vt:lpstr>H3-R10</vt:lpstr>
      <vt:lpstr>H3-R11</vt:lpstr>
      <vt:lpstr>H3-R12</vt:lpstr>
      <vt:lpstr>H3-R13</vt:lpstr>
      <vt:lpstr>H3-R14</vt:lpstr>
      <vt:lpstr>H3-R15</vt:lpstr>
      <vt:lpstr>H3-R16</vt:lpstr>
      <vt:lpstr>H3-R17</vt:lpstr>
      <vt:lpstr>H3-R18</vt:lpstr>
      <vt:lpstr>H3-R19</vt:lpstr>
      <vt:lpstr>H3-R20</vt:lpstr>
      <vt:lpstr>H3-R21</vt:lpstr>
      <vt:lpstr>H3-R22</vt:lpstr>
      <vt:lpstr>H3-R23</vt:lpstr>
      <vt:lpstr>H3-R24</vt:lpstr>
      <vt:lpstr>H3-R25</vt:lpstr>
      <vt:lpstr>H3-R26</vt:lpstr>
      <vt:lpstr>H3-R27</vt:lpstr>
      <vt:lpstr>H3-R28</vt:lpstr>
      <vt:lpstr>H3-R29</vt:lpstr>
      <vt:lpstr>H3-R30</vt:lpstr>
      <vt:lpstr>Lagerbestand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Dieckmann</dc:creator>
  <cp:lastModifiedBy>Marcus Dieckmann</cp:lastModifiedBy>
  <cp:lastPrinted>2026-01-19T11:10:20Z</cp:lastPrinted>
  <dcterms:created xsi:type="dcterms:W3CDTF">2025-04-08T11:45:47Z</dcterms:created>
  <dcterms:modified xsi:type="dcterms:W3CDTF">2026-02-04T05:33:02Z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0x010100A401938634077447B0E2412630AA2E7B</vt:lpwstr>
  </property>
  <property fmtid="{D5CDD505-2E9C-101B-9397-08002B2CF9AE}" pid="3" name="MediaServiceImageTags">
    <vt:lpwstr/>
  </property>
</Properties>
</file>